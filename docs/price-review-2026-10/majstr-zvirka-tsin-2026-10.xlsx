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ідсумок" sheetId="1" state="visible" r:id="rId3"/>
    <sheet name="Звірка" sheetId="2" state="visible" r:id="rId4"/>
    <sheet name="Аномалії" sheetId="3" state="visible" r:id="rId5"/>
    <sheet name="Нові позиції" sheetId="4" state="visible" r:id="rId6"/>
    <sheet name="Джерела" sheetId="5" state="visible" r:id="rId7"/>
  </sheets>
  <definedNames>
    <definedName function="false" hidden="true" localSheetId="2" name="_xlnm._FilterDatabase" vbProcedure="false">Аномалії!$A$1:$I$131</definedName>
    <definedName function="false" hidden="true" localSheetId="1" name="_xlnm._FilterDatabase" vbProcedure="false">Звірка!$A$1:$P$309</definedName>
    <definedName function="false" hidden="true" localSheetId="3" name="_xlnm._FilterDatabase" vbProcedure="false">'Нові позиції'!$A$1:$H$64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<sst xmlns="http://schemas.openxmlformats.org/spreadsheetml/2006/main" count="3385" uniqueCount="1412">
  <si>
    <t xml:space="preserve">Звірка цін каталогу Majstr з ринком — 25.10.2026</t>
  </si>
  <si>
    <t xml:space="preserve">Ціни — тільки робота, ₴. Ринок — відкриті прайси майстрів і компаній та маркетплейси (Київ, Львів, Україна), переважно 2026 р.</t>
  </si>
  <si>
    <t xml:space="preserve">Група</t>
  </si>
  <si>
    <t xml:space="preserve">Перевірено</t>
  </si>
  <si>
    <t xml:space="preserve">В ринку</t>
  </si>
  <si>
    <t xml:space="preserve">Підняти</t>
  </si>
  <si>
    <t xml:space="preserve">Знизити</t>
  </si>
  <si>
    <t xml:space="preserve">Неясно</t>
  </si>
  <si>
    <t xml:space="preserve">Аномалій</t>
  </si>
  <si>
    <t xml:space="preserve">Плитка і підлоги</t>
  </si>
  <si>
    <t xml:space="preserve">Малярка і гіпсокартон</t>
  </si>
  <si>
    <t xml:space="preserve">Електрика</t>
  </si>
  <si>
    <t xml:space="preserve">Сантехніка</t>
  </si>
  <si>
    <t xml:space="preserve">Будівельник, демонтаж, метал</t>
  </si>
  <si>
    <t xml:space="preserve">Разом</t>
  </si>
  <si>
    <t xml:space="preserve">Нових позицій запропоновано</t>
  </si>
  <si>
    <t xml:space="preserve">Рішень уже прийнято (Звірка)</t>
  </si>
  <si>
    <t xml:space="preserve">Як користуватись:</t>
  </si>
  <si>
    <t xml:space="preserve">• «Звірка»: у жовтій колонці «Рішення» обери Прийняти / Відхилити / Своя ціна (тоді впиши її поруч). «Підсумкова ціна» порахується сама — цей стовпчик і піде в міграцію.</t>
  </si>
  <si>
    <t xml:space="preserve">• «Аномалії»: помилки одиниць, дублікати з різними цінами, нулі, «заглушки» (однакова ціна на різні роботи).</t>
  </si>
  <si>
    <t xml:space="preserve">• «Нові позиції»: що часто є в прайсах майстрів, а в нас немає. Постав «Так» і ціну — додамо.</t>
  </si>
  <si>
    <t xml:space="preserve">• Порожні жовті клітинки = рішення ще не прийняте; така позиція лишається за нашою ціною.</t>
  </si>
  <si>
    <t xml:space="preserve">Важливо: stroyremdizayn.kiev.ua і demontazh-pro.kiev.ua збігаються з нашим каталогом майже 1:1 — схоже, звідти колись брали ціни. Аудитори не рахували їх незалежними джерелами.</t>
  </si>
  <si>
    <t xml:space="preserve">Чужі бази цін кошторисних застосунків (напр. lihtar.app) не використовувались.</t>
  </si>
  <si>
    <t xml:space="preserve">Фах</t>
  </si>
  <si>
    <t xml:space="preserve">Позиція</t>
  </si>
  <si>
    <t xml:space="preserve">Од.</t>
  </si>
  <si>
    <t xml:space="preserve">Наша ціна, ₴</t>
  </si>
  <si>
    <t xml:space="preserve">Ринок мін, ₴</t>
  </si>
  <si>
    <t xml:space="preserve">Ринок медіана, ₴</t>
  </si>
  <si>
    <t xml:space="preserve">Ринок макс, ₴</t>
  </si>
  <si>
    <t xml:space="preserve">Вердикт</t>
  </si>
  <si>
    <t xml:space="preserve">Пропонована ціна, ₴</t>
  </si>
  <si>
    <t xml:space="preserve">Зміна, %</t>
  </si>
  <si>
    <t xml:space="preserve">Рішення</t>
  </si>
  <si>
    <t xml:space="preserve">Своя ціна, ₴</t>
  </si>
  <si>
    <t xml:space="preserve">Підсумкова ціна, ₴</t>
  </si>
  <si>
    <t xml:space="preserve">Примітка аудитора</t>
  </si>
  <si>
    <t xml:space="preserve">Джерела (URL · що написано · місто · дата)</t>
  </si>
  <si>
    <t xml:space="preserve">Підлоги</t>
  </si>
  <si>
    <t xml:space="preserve">Демонтаж лінолеуму ковроліну</t>
  </si>
  <si>
    <t xml:space="preserve">м²</t>
  </si>
  <si>
    <t xml:space="preserve">підняти</t>
  </si>
  <si>
    <t xml:space="preserve">20 грн/м² явно замало. Медіана 130; пропоновано 100 (лінолеум без клею).</t>
  </si>
  <si>
    <t xml:space="preserve">https://rbk-alba.com/ua/price · лінолеум 250 / на клей 300 · не вказано · 19.10.2026
https://kabanchik.ua/ua/kyiv/category/ukladannia-laminatu · демонтаж старого покриття 130 · Київ · 10.2026
https://rating-remont-kvartir.com.ua/ua/rozcinki-na-roboti-z-pidlogami-lviv/ · демонтаж покриття 60–100 · Львів · 07.01.2026</t>
  </si>
  <si>
    <t xml:space="preserve">Машинна стяжка самовирівнююча</t>
  </si>
  <si>
    <t xml:space="preserve">Наша ціна нижча навіть за мінімум rabotniki (307).</t>
  </si>
  <si>
    <t xml:space="preserve">https://www.rabotniki.ua/uk/chernovye-raboty-po-polu/kiev · машинна самовирівнююча 307/373/400 грн/м² · Київ · 2026
https://mirafloor.com.ua/statti/nalivna-pidloga-tsina-za-m2.html · наливна від 350 · Київ · 09.2026</t>
  </si>
  <si>
    <t xml:space="preserve">Монтаж алюмінієвого плінтуса</t>
  </si>
  <si>
    <t xml:space="preserve">м.п.</t>
  </si>
  <si>
    <t xml:space="preserve">https://stroyremdizayn.kiev.ua/rascenki-na-otdelochnye-raboty.html · алюмінієвий 400 · Київ · 2026
https://bud.arsel.com.ua/tsiny-na-budivelni-roboty/ · алюмінієвий 350 · Київ і обл. · 01.01.2026</t>
  </si>
  <si>
    <t xml:space="preserve">Настил лінолеуму ковроліну на клей</t>
  </si>
  <si>
    <t xml:space="preserve">Зараз дорівнює варіанту без клею (200), хоча на клей має бути дорожче.</t>
  </si>
  <si>
    <t xml:space="preserve">https://stroyremdizayn.kiev.ua/rascenki-na-otdelochnye-raboty.html · на клей 300 · Київ · 2026
https://bud.arsel.com.ua/tsiny-na-budivelni-roboty/ · лінолеум на клей 220 · Київ і обл. · 01.01.2026</t>
  </si>
  <si>
    <t xml:space="preserve">Настилання підлоги з дошки по лагах</t>
  </si>
  <si>
    <t xml:space="preserve">https://www.rabotniki.ua/uk/price/ukladka-laminata-price/kiev · дерев'яна підлога у шпунт 441 · Київ · 25.10.2026
https://www.rabotniki.ua/uk/price/tsiklevanie-parketa-pokrytie-lakom · 452 · Україна (агрегат) · 25.10.2026
https://stroyremdizayn.kiev.ua/rascenki-na-otdelochnye-raboty.html · підлога з дошки 460 · Київ · 2026</t>
  </si>
  <si>
    <t xml:space="preserve">Укладання паркетної / інженерної дошки плаваючим способом</t>
  </si>
  <si>
    <t xml:space="preserve">Наша ціна нижча за всі три джерела.</t>
  </si>
  <si>
    <t xml:space="preserve">https://www.rabotniki.ua/uk/price/ukladka-laminata-price/kiev · Київ, тришарова 491 · Київ · 25.10.2026
https://www.rabotniki.ua/uk/price/tsiklevanie-parketa-pokrytie-lakom · тришарова (Україна) 485 · Україна (агрегат) · 25.10.2026
https://bud.arsel.com.ua/tsiny-na-budivelni-roboty/ · тришарова 435 · Київ і обл. · 01.01.2026</t>
  </si>
  <si>
    <t xml:space="preserve">Плитка</t>
  </si>
  <si>
    <t xml:space="preserve">Виріз отворів до 70 мм</t>
  </si>
  <si>
    <t xml:space="preserve">шт</t>
  </si>
  <si>
    <t xml:space="preserve">https://www.rabotniki.ua/uk/plitochnye-raboty · 150/273/400 грн/шт · Україна (агрегат) · 2026
https://www.rabotniki.ua/uk/price/ukladka-plitki-na-pol/kiev · сер. 295 · Київ · 25.10.2026
https://kabanchik.ua/ua/kyiv/category/ukladannia-plytky · 240 · Київ · 10.2026
https://plitochnik.kiev.ua/ua/%D0%B2%D0%B0%D1%80%D1%82%D1%96%D1%81%D1%82%D1%8C-%D1%80%D0%BE%D0%B1%D1%96%D1%82-%D0%BF%D0%BB%D0%B8%D1%82%D0%BE%D1%87%D0%BD%D0%B8%D0%BA%D0%B0.html · до 70 мм 204 · Київ · 2026
https://bud.arsel.com.ua/tsiny-na-budivelni-roboty/ · 220 · Київ і обл. · 01.01.2026
https://liv-comfort.kyiv.ua/price-remont/index.html · 250 · Київ · 2026
https://stroyremdizayn.kiev.ua/rascenki-na-otdelochnye-raboty.html · 300 · Київ · 2026
https://remmo.lviv.ua/plytochni-roboty-lviv/ · 200 · Львів · 25.01.2026
https://plitka.ua/ua/services/ukladannya-plitki/ · до 70 мм 150 (2025) · Київ · 2025
https://24tv.ua/skilki-naspravdi-koshtuye-poklasti-plitku-vanniy-realni-tsini_n3111316 · 250 · не вказано · 24.07.2026
https://www.remonthub.org/prices.php · 220 · Київ · 2026</t>
  </si>
  <si>
    <t xml:space="preserve">Запил плитки під 45°</t>
  </si>
  <si>
    <t xml:space="preserve">https://www.rabotniki.ua/uk/plitochnye-raboty · 250/478/750 грн/м.п. · Україна (агрегат) · 2026
https://www.rabotniki.ua/uk/price/ukladka-plitki-na-pol/kiev · сер. 484 · Київ · 25.10.2026
https://www.rabotniki.ua/uk/plitochnye-raboty/lvov · 250/463/700 · Львів · 2026
https://budver.com/masters/zapil-ta-shlifuvannya-kromok-plitki-pid-45-gradusiv · 275/550/825 · Україна (агрегат) · 2026
https://kabanchik.ua/ua/kyiv/category/ukladannia-plytky · 420 · Київ · 10.2026
https://plitochnik.kiev.ua/ua/%D0%B2%D0%B0%D1%80%D1%82%D1%96%D1%81%D1%82%D1%8C-%D1%80%D0%BE%D0%B1%D1%96%D1%82-%D0%BF%D0%BB%D0%B8%D1%82%D0%BE%D1%87%D0%BD%D0%B8%D0%BA%D0%B0.html · 420 · Київ · 2026
https://bud.arsel.com.ua/tsiny-na-budivelni-roboty/ · 425 · Київ і обл. · 01.01.2026
https://liv-comfort.kyiv.ua/price-remont/index.html · 500 · Київ · 2026
https://stroyremdizayn.kiev.ua/rascenki-na-otdelochnye-raboty.html · 500 · Київ · 2026
https://remmo.lviv.ua/plytochni-roboty-lviv/ · 300 · Львів · 25.01.2026
https://plitka.ua/ua/services/ukladannya-plitki/ · 300 (2025) · Київ · 2025</t>
  </si>
  <si>
    <t xml:space="preserve">Заповнення швів герметиком</t>
  </si>
  <si>
    <t xml:space="preserve">Після підвищення 'Заміна силіконового шва' (180) треба тримати вище за просте заповнення, ~280.</t>
  </si>
  <si>
    <t xml:space="preserve">https://www.rabotniki.ua/uk/plitochnye-raboty · герметична 150/215/350 грн/м.п. · Україна (агрегат) · 2026
https://plitochnik.kiev.ua/ua/%D0%B2%D0%B0%D1%80%D1%82%D1%96%D1%81%D1%82%D1%8C-%D1%80%D0%BE%D0%B1%D1%96%D1%82-%D0%BF%D0%BB%D0%B8%D1%82%D0%BE%D1%87%D0%BD%D0%B8%D0%BA%D0%B0.html · герметизація шва 240 грн/м.п. · Київ · 2026
https://kabanchik.ua/ua/kyiv/category/ukladannia-plytky · герметизація швів від 110 · Київ · 10.2026
https://stroyremdizayn.kiev.ua/rascenki-na-otdelochnye-raboty.html · герметик 250 грн/м.п. · Київ · 2026
https://plitka.ua/ua/services/ukladannya-plitki/ · герметик у шви 100 грн/м.п. (2025) · Київ · 2025
https://24tv.ua/skilki-naspravdi-koshtuye-poklasti-plitku-vanniy-realni-tsini_n3111316 · силікон у кутах 250 грн/м.п. · не вказано · 24.07.2026</t>
  </si>
  <si>
    <t xml:space="preserve">Заповнення швів епоксидною сумішшю</t>
  </si>
  <si>
    <t xml:space="preserve">rabotniki (315) і arsel (320) вказують у грн/м.п. — розбіжність одиниць, не враховано.</t>
  </si>
  <si>
    <t xml:space="preserve">https://budver.com/masters/zatirannya-shviv-plitki-epoksidnoyu-zatirkoyu · 187/369/550 грн/м² · Україна (агрегат) · 2026
https://plitochnik.kiev.ua/ua/%D0%B2%D0%B0%D1%80%D1%82%D1%96%D1%81%D1%82%D1%8C-%D1%80%D0%BE%D0%B1%D1%96%D1%82-%D0%BF%D0%BB%D0%B8%D1%82%D0%BE%D1%87%D0%BD%D0%B8%D0%BA%D0%B0.html · 300 грн/м² · Київ · 2026
https://plitochnik.kiev.ua/ua/%D1%83%D0%BA%D0%BB%D0%B0%D0%B4%D0%B0%D0%BD%D0%BD%D1%8F-%D1%84%D0%BE%D1%80%D0%BC%D0%B0%D1%82%D0%BD%D0%BE%D0%B3%D0%BE-%D0%BA%D0%B5%D1%80%D0%B0%D0%BC%D0%BE%D0%B3%D1%80%D0%B0%D0%BD%D1%96%D1%82%D0%B0.html · 240 грн/м² · Київ · 2026
https://24tv.ua/skilki-naspravdi-koshtuye-poklasti-plitku-vanniy-realni-tsini_n3111316 · 320 грн/м² · не вказано · 24.07.2026
https://www.remonthub.org/prices.php · 290 грн/м² · Київ · 2026
https://plitka.ua/ua/services/ukladannya-plitki/ · 200 грн/м² (2025) · Київ · 2025
https://liv-comfort.kyiv.ua/price-remont/index.html · двокомпонентна 250 · Київ · 2026</t>
  </si>
  <si>
    <t xml:space="preserve">Заповнення швів цементною сумішшю</t>
  </si>
  <si>
    <t xml:space="preserve">SR вказує 50 грн/м.п. — інша одиниця, не враховано.</t>
  </si>
  <si>
    <t xml:space="preserve">https://www.rabotniki.ua/uk/plitochnye-raboty · стандартна 100/166/250 грн/м² · Україна (агрегат) · 2026
https://www.rabotniki.ua/uk/price/ukladka-plitki-na-pol/kiev · сер. 182 · Київ · 25.10.2026
https://www.rabotniki.ua/uk/plitochnye-raboty/lvov · 140/163/200 · Львів · 2026
https://budver.com/masters/zatirannya-shviv-plitki · 110/193/275 · Україна (агрегат) · 2026
https://kabanchik.ua/ua/kyiv/category/ukladannia-plytky · 140 грн/м² · Київ · 10.2026
https://plitochnik.kiev.ua/ua/%D0%B2%D0%B0%D1%80%D1%82%D1%96%D1%81%D1%82%D1%8C-%D1%80%D0%BE%D0%B1%D1%96%D1%82-%D0%BF%D0%BB%D0%B8%D1%82%D0%BE%D1%87%D0%BD%D0%B8%D0%BA%D0%B0.html · до 5 мм 180 грн/м² · Київ · 2026
https://bud.arsel.com.ua/tsiny-na-budivelni-roboty/ · 120 грн/м² · Київ і обл. · 01.01.2026
https://www.remonthub.org/prices.php · 200 грн/м² · Київ · 2026
https://24tv.ua/skilki-naspravdi-koshtuye-poklasti-plitku-vanniy-realni-tsini_n3111316 · 200 грн/м² · не вказано · 24.07.2026
https://remmo.lviv.ua/plytochni-roboty-lviv/ · 50 грн/м² · Львів · 25.01.2026</t>
  </si>
  <si>
    <t xml:space="preserve">Стяжка маякова цементна</t>
  </si>
  <si>
    <t xml:space="preserve">Дубль FLOORING 'Цементно-піщана стяжка понад 20м2' = 400. Варто вирівняти.</t>
  </si>
  <si>
    <t xml:space="preserve">https://www.rabotniki.ua/uk/chernovye-raboty-po-polu/kiev · ЦПС до 5 см 250/396/600 грн/м² · Київ · 2026
https://bud.arsel.com.ua/tsiny-na-budivelni-roboty/ · до 5 см 350 · Київ і обл. · 01.01.2026
https://rbk-alba.com/ua/price · до 5 см 450 · не вказано · 19.10.2026
https://plitochnik.kiev.ua/ua/%D0%B2%D0%B0%D1%80%D1%82%D1%96%D1%81%D1%82%D1%8C-%D1%80%D0%BE%D0%B1%D1%96%D1%82-%D0%BF%D0%BB%D0%B8%D1%82%D0%BE%D1%87%D0%BD%D0%B8%D0%BA%D0%B0.html · до 50 мм 480 · Київ · 2026
https://liv-comfort.kyiv.ua/price-remont/index.html · до 50 мм 400 · Київ · 2026
https://stroyremdizayn.kiev.ua/rascenki-na-otdelochnye-raboty.html · понад 20 м² 360 · Київ · 2026
https://www.remonthub.org/prices.php · до 5 см 500 · Київ · 2026</t>
  </si>
  <si>
    <t xml:space="preserve">Укладання декоративної плитки під «цеглу» або «камінь» (гіпсова, бетонна)</t>
  </si>
  <si>
    <t xml:space="preserve">Ціна 0 — пропущене значення.</t>
  </si>
  <si>
    <t xml:space="preserve">https://www.rabotniki.ua/uk/plitochnye-raboty · декоративна гіпсова плитка 600/1105/1650 грн/м² · Україна (агрегат) · 2026
https://www.rabotniki.ua/uk/plitochnye-raboty · гіпсова цеглинка 600/1022/1500 · Україна (агрегат) · 2026
https://kabanchik.ua/ua/kyiv/category/ukladannia-plytky · декоративна гіпсова плитка 1060 грн/м² · Київ · 10.2026
https://budver.com/masters/plitochni-roboti · гіпсова плитка від 660 · Україна (ціни 'від') · 2026
https://stroyremdizayn.kiev.ua/rascenki-na-otdelochnye-raboty.html · декоративна цегла/камінь 1000 · Київ · 2026</t>
  </si>
  <si>
    <t xml:space="preserve">Укладання керамічного паркету, дрібної дошки</t>
  </si>
  <si>
    <t xml:space="preserve">https://plitochnik.kiev.ua/ua/%D0%B2%D0%B0%D1%80%D1%82%D1%96%D1%81%D1%82%D1%8C-%D1%80%D0%BE%D0%B1%D1%96%D1%82-%D0%BF%D0%BB%D0%B8%D1%82%D0%BE%D1%87%D0%BD%D0%B8%D0%BA%D0%B0.html · дрібний керамічний паркет 1200 грн/м² · Київ · 2026
https://plitka.ua/ua/services/ukladannya-plitki/ · керамопаркет 800 грн/м² (2025) · Київ · 2025
https://www.rabotniki.ua/uk/plitochnye-raboty · керамічний паркет до 1200 мм 750/1267/1810 грн/м² · Україна (агрегат) · 2026
https://budver.com/masters/plitochni-roboti · керамічний паркет від 825 грн/м² · Україна (ціни 'від') · 2026</t>
  </si>
  <si>
    <t xml:space="preserve">Укладання клінкерної підлогової плитки</t>
  </si>
  <si>
    <t xml:space="preserve">Позиція в категорії 'Облицювання сходів'.</t>
  </si>
  <si>
    <t xml:space="preserve">https://www.rabotniki.ua/uk/plitochnye-raboty · клінкер 700/1244/2000 грн/м² · Україна (агрегат) · 2026
https://budver.com/masters/plitochni-roboti · клінкер від 770 · Україна (ціни 'від') · 2026
https://plitochnik.kiev.ua/ua/%D0%B2%D0%B0%D1%80%D1%82%D1%96%D1%81%D1%82%D1%8C-%D1%80%D0%BE%D0%B1%D1%96%D1%82-%D0%BF%D0%BB%D0%B8%D1%82%D0%BE%D1%87%D0%BD%D0%B8%D0%BA%D0%B0.html · промисловий клінкер 1080 · Київ · 2026
https://stroyremdizayn.kiev.ua/rascenki-na-otdelochnye-raboty.html · клінкер 1200 · Київ · 2026
https://remmo.lviv.ua/plytochni-roboty-lviv/ · клінкер від 1000 · Львів · 25.01.2026</t>
  </si>
  <si>
    <t xml:space="preserve">Укладання плитки 1200х1200 мм</t>
  </si>
  <si>
    <t xml:space="preserve">https://plitochnik.kiev.ua/ua/%D1%83%D0%BA%D0%BB%D0%B0%D0%B4%D0%B0%D0%BD%D0%BD%D1%8F-%D1%84%D0%BE%D1%80%D0%BC%D0%B0%D1%82%D0%BD%D0%BE%D0%B3%D0%BE-%D0%BA%D0%B5%D1%80%D0%B0%D0%BC%D0%BE%D0%B3%D1%80%D0%B0%D0%BD%D1%96%D1%82%D0%B0.html · 1200×1200 1440 грн/м² · Київ · 2026
https://stroyremdizayn.kiev.ua/rascenki-na-otdelochnye-raboty.html · 1200×1200 1250 грн/м² · Київ · 2026</t>
  </si>
  <si>
    <t xml:space="preserve">Укладання плитки 300х300</t>
  </si>
  <si>
    <t xml:space="preserve">Окремої ціни на 300х300 мало; порівняно з базовою ціною укладання на підлогу/стіни.</t>
  </si>
  <si>
    <t xml:space="preserve">https://plitka.ua/ua/services/ukladannya-plitki/ · 300х300 500 грн/м² (2025) · Київ · 2025
https://plitochnik.kiev.ua/ua/%D0%B2%D0%B0%D1%80%D1%82%D1%96%D1%81%D1%82%D1%8C-%D1%80%D0%BE%D0%B1%D1%96%D1%82-%D0%BF%D0%BB%D0%B8%D1%82%D0%BE%D1%87%D0%BD%D0%B8%D0%BA%D0%B0.html · кераміка до 600 мм 720 грн/м² · Київ · 2026
https://www.rabotniki.ua/uk/price/ukladka-plitki-na-pol/kiev · підлога сер. 985 грн/м² · Київ · 25.10.2026
https://www.rabotniki.ua/uk/plitochnye-raboty · підлога сер. 905 · Україна (агрегат) · 2026
https://kabanchik.ua/ua/kyiv/category/ukladannia-plytky · підлога 820 · Київ · 10.2026
https://bud.arsel.com.ua/tsiny-na-budivelni-roboty/ · підлога 900 · Київ і обл. · 01.01.2026
https://liv-comfort.kyiv.ua/price-remont/index.html · підлога 750 · Київ · 2026</t>
  </si>
  <si>
    <t xml:space="preserve">Укладання плитки 300х600</t>
  </si>
  <si>
    <t xml:space="preserve">Типовий настінний формат; ринок 700–1000 у більшості джерел. Наші 594 — на рівні мінімумів.</t>
  </si>
  <si>
    <t xml:space="preserve">https://www.rabotniki.ua/uk/plitochnye-raboty · стіни 500/933/1550 грн/м² · Україна (агрегат) · 2026
https://www.rabotniki.ua/uk/price/ukladka-plitki-na-pol/kiev · стіни сер. 1033 грн/м² · Київ · 25.10.2026
https://www.rabotniki.ua/uk/plitochnye-raboty/lvov · стіни 750/963/1300 грн/м² · Львів · 2026
https://kabanchik.ua/ua/kyiv/category/ukladannia-plytky · стіни (проста укладка) 840 грн/м² · Київ · 10.2026
https://plitochnik.kiev.ua/ua/%D0%B2%D0%B0%D1%80%D1%82%D1%96%D1%81%D1%82%D1%8C-%D1%80%D0%BE%D0%B1%D1%96%D1%82-%D0%BF%D0%BB%D0%B8%D1%82%D0%BE%D1%87%D0%BD%D0%B8%D0%BA%D0%B0.html · керамічна плитка до 600 мм 720 грн/м² · Київ · 2026
https://plitka.ua/ua/services/ukladannya-plitki/ · 300х600 500 грн/м² (2025) · Київ · 2025
https://bud.arsel.com.ua/tsiny-na-budivelni-roboty/ · плитка на стіни 900 грн/м² · Київ і обл. · 01.01.2026
https://liv-comfort.kyiv.ua/price-remont/index.html · плитка стіни/укоси 850 грн/м² · Київ · 2026
https://remmo.lviv.ua/plytochni-roboty-lviv/ · укладання плитки на стіни 700 грн/м² · Львів · 25.01.2026
https://www.remonthub.org/prices.php · укладка плитки 850 грн/м² · Київ · 2026
https://stroyremdizayn.kiev.ua/rascenki-na-otdelochnye-raboty.html · керамічна плитка 850 грн/м² · Київ · 2026</t>
  </si>
  <si>
    <t xml:space="preserve">Укладання плитки 600х1200</t>
  </si>
  <si>
    <t xml:space="preserve">DF: доплата за великий формат +20–30% (Київ) до базової 800–1400.</t>
  </si>
  <si>
    <t xml:space="preserve">https://plitka.ua/ua/services/ukladannya-plitki/ · 600х1200 800 грн/м² (2025) · Київ · 2025
https://stroyremdizayn.kiev.ua/rascenki-na-otdelochnye-raboty.html · 1200×600 950 грн/м² · Київ · 2026
https://plitochnik.kiev.ua/ua/%D0%B2%D0%B0%D1%80%D1%82%D1%96%D1%81%D1%82%D1%8C-%D1%80%D0%BE%D0%B1%D1%96%D1%82-%D0%BF%D0%BB%D0%B8%D1%82%D0%BE%D1%87%D0%BD%D0%B8%D0%BA%D0%B0.html · середній формат від 816 грн/м² · Київ · 2026
https://plitochnik.kiev.ua/ua/%D0%B2%D0%B0%D1%80%D1%82%D1%96%D1%81%D1%82%D1%8C-%D1%80%D0%BE%D0%B1%D1%96%D1%82-%D0%BF%D0%BB%D0%B8%D1%82%D0%BE%D1%87%D0%BD%D0%B8%D0%BA%D0%B0.html · великий формат від 936 грн/м² · Київ · 2026</t>
  </si>
  <si>
    <t xml:space="preserve">Укладання плитки 600х600</t>
  </si>
  <si>
    <t xml:space="preserve">Базовий формат підлоги. Наша ціна нижча за всі джерела, крім plitka.ua (2025). DF: Київ 800–1400, Львів 550–800, інші міста 450–900.</t>
  </si>
  <si>
    <t xml:space="preserve">https://www.rabotniki.ua/uk/price/ukladka-plitki-na-pol/kiev · укладання плитки на підлогу: 550/985/1500 грн/м² (мін/сер/макс) · Київ · 25.10.2026
https://www.rabotniki.ua/uk/plitochnye-raboty/lvov · підлога 550/888/1300 грн/м² · Львів · 2026
https://www.rabotniki.ua/uk/plitochnye-raboty · підлога 500/905/1500 грн/м² · Україна (агрегат) · 2026
https://kabanchik.ua/ua/kyiv/category/ukladannia-plytky · укладання плитки на підлогу 820 грн/м² (блок 'Вартість послуг') · Київ · 10.2026
https://plitochnik.kiev.ua/ua/%D0%B2%D0%B0%D1%80%D1%82%D1%96%D1%81%D1%82%D1%8C-%D1%80%D0%BE%D0%B1%D1%96%D1%82-%D0%BF%D0%BB%D0%B8%D1%82%D0%BE%D1%87%D0%BD%D0%B8%D0%BA%D0%B0.html · керамограніт до 600 мм 744 грн/м² · Київ · 2026
https://stroyremdizayn.kiev.ua/rascenki-na-otdelochnye-raboty.html · 600х600 850 грн/м² · Київ · 2026
https://plitka.ua/ua/services/ukladannya-plitki/ · 600х600 600 грн/м² (2025) · Київ · 2025
https://bud.arsel.com.ua/tsiny-na-budivelni-roboty/ · плитка на підлогу 900 грн/м² · Київ і обл. · 01.01.2026
https://liv-comfort.kyiv.ua/price-remont/index.html · плитка підлога 750 грн/м² · Київ · 2026
https://remmo.lviv.ua/plytochni-roboty-lviv/ · керамограніт від 700 грн/м² · Львів · 25.01.2026</t>
  </si>
  <si>
    <t xml:space="preserve">Укладання плитки 800х800</t>
  </si>
  <si>
    <t xml:space="preserve">https://stroyremdizayn.kiev.ua/rascenki-na-otdelochnye-raboty.html · 800×800 950 грн/м² · Київ · 2026
https://plitka.ua/ua/services/ukladannya-plitki/ · 800х800 900 грн/м² (2025) · Київ · 2025
https://plitochnik.kiev.ua/ua/%D0%B2%D0%B0%D1%80%D1%82%D1%96%D1%81%D1%82%D1%8C-%D1%80%D0%BE%D0%B1%D1%96%D1%82-%D0%BF%D0%BB%D0%B8%D1%82%D0%BE%D1%87%D0%BD%D0%B8%D0%BA%D0%B0.html · середній формат від 816 грн/м² · Київ · 2026</t>
  </si>
  <si>
    <t xml:space="preserve">Укладання плитки кабанчик, «цегла»</t>
  </si>
  <si>
    <t xml:space="preserve">Одна з найбільших розбіжностей: усі джерела 2026 року дають 1200–1500.</t>
  </si>
  <si>
    <t xml:space="preserve">https://www.rabotniki.ua/uk/plitochnye-raboty · «кабанчик» 750/1294/2000 грн/м² · Україна (агрегат) · 2026
https://www.rabotniki.ua/uk/price/ukladka-plitki-na-pol/kiev · «кабанчик» сер. 1334 грн/м² · Київ · 25.10.2026
https://budver.com/masters/ukladannya-plitki-kabanchik · 825/1513/2200 грн/м² · Україна (агрегат) · 2026
https://kabanchik.ua/ua/kyiv/category/ukladannia-plytky · «кабанчик» 1200 грн/м² · Київ · 10.2026
https://stroyremdizayn.kiev.ua/rascenki-na-otdelochnye-raboty.html · «кабанчик» 1300 грн/м² · Київ · 2026
https://plitka.ua/ua/services/ukladannya-plitki/ · кабанчик 620 грн/м² (2025) · Київ · 2025</t>
  </si>
  <si>
    <t xml:space="preserve">Монтаж міжкімнатного порога</t>
  </si>
  <si>
    <t xml:space="preserve">знизити</t>
  </si>
  <si>
    <t xml:space="preserve">Удвічі дорожче за перехідний профіль (200). Для порога краще одиниця PIECE.</t>
  </si>
  <si>
    <t xml:space="preserve">https://www.rabotniki.ua/uk/price/ukladka-laminata-price/kiev · прямий поріжок 215 грн/м.п. · Київ · 25.10.2026
https://www.rabotniki.ua/uk/price/tsiklevanie-parketa-pokrytie-lakom · 209 · Україна (агрегат) · 25.10.2026
https://www.remonthub.org/prices.php · порогова планка 150 · Київ · 2026</t>
  </si>
  <si>
    <t xml:space="preserve">Монтаж утеплювача під стяжку</t>
  </si>
  <si>
    <t xml:space="preserve">Сусідня позиція 'Монтаж утеплювача' коштує 130, тобто ця завищена.</t>
  </si>
  <si>
    <t xml:space="preserve">https://www.rabotniki.ua/uk/chernovye-raboty-po-polu/kiev · утеплення стиродуром 130/160/200 грн/м² · Київ · 2026
https://bud.arsel.com.ua/tsiny-na-budivelni-roboty/ · утеплювач під стяжку 130 · Київ і обл. · 01.01.2026</t>
  </si>
  <si>
    <t xml:space="preserve">Плівкова ізоляція під стяжку</t>
  </si>
  <si>
    <t xml:space="preserve">Удвічі вище за ринок.</t>
  </si>
  <si>
    <t xml:space="preserve">https://www.rabotniki.ua/uk/chernovye-raboty-po-polu/kiev · плівкова гідроізоляція 40/64/80 грн/м² · Київ · 2026
https://bud.arsel.com.ua/tsiny-na-budivelni-roboty/ · плівкова гідроізоляція 60 · Київ і обл. · 01.01.2026
https://stroyremdizayn.kiev.ua/rascenki-na-otdelochnye-raboty.html · плівка 60 · Київ · 2026</t>
  </si>
  <si>
    <t xml:space="preserve">Укладання фанери або OSB на стяжку чи лаги</t>
  </si>
  <si>
    <t xml:space="preserve">Небагато вище за ринок.</t>
  </si>
  <si>
    <t xml:space="preserve">https://www.rabotniki.ua/uk/price/ukladka-laminata-price/kiev · фанера Київ 217 · Київ · 25.10.2026
https://www.rabotniki.ua/uk/price/tsiklevanie-parketa-pokrytie-lakom · фанера Україна 202 · Україна (агрегат) · 25.10.2026
https://rating-remont-kvartir.com.ua/ua/rozcinki-na-roboti-z-pidlogami-lviv/ · фанера на лаги 150–200 (Львів) · Львів · 07.01.2026</t>
  </si>
  <si>
    <t xml:space="preserve">Шліфування стяжки (зняття перепадів до 5 мм)</t>
  </si>
  <si>
    <t xml:space="preserve">FLOORING 'Шліфування бетонної основи' — 150.</t>
  </si>
  <si>
    <t xml:space="preserve">https://www.rabotniki.ua/uk/chernovye-raboty-po-polu/kiev · шліфування стяжки 180/226/280 грн/м² · Київ · 2026
https://plitochnik.kiev.ua/ua/%D0%B2%D0%B0%D1%80%D1%82%D1%96%D1%81%D1%82%D1%8C-%D1%80%D0%BE%D0%B1%D1%96%D1%82-%D0%BF%D0%BB%D0%B8%D1%82%D0%BE%D1%87%D0%BD%D0%B8%D0%BA%D0%B0.html · шліфування, зняття молочка від 180 · Київ · 2026</t>
  </si>
  <si>
    <t xml:space="preserve">Укладання ламінату ялинкою</t>
  </si>
  <si>
    <t xml:space="preserve">неясно</t>
  </si>
  <si>
    <t xml:space="preserve">Лише одне джерело (700). Можливо, ціну занижено.</t>
  </si>
  <si>
    <t xml:space="preserve">https://parket-doska.com.ua/ukladannya-parketu-iz-zavodskoyu-obrobkoyu-malyunok-francuzka-rizka-ugorska-yalinka-na-styazhku/ · ламінат ялинкою 700 грн/м² · Київ · н/д</t>
  </si>
  <si>
    <t xml:space="preserve">Нанесення двокомпонентної гідроізоляції</t>
  </si>
  <si>
    <t xml:space="preserve">Пряме порівняння є лише одне (PK 440). Схоже, що ціну варто підняти до ~350–400.</t>
  </si>
  <si>
    <t xml:space="preserve">https://plitochnik.kiev.ua/ua/%D0%B2%D0%B0%D1%80%D1%82%D1%96%D1%81%D1%82%D1%8C-%D1%80%D0%BE%D0%B1%D1%96%D1%82-%D0%BF%D0%BB%D0%B8%D1%82%D0%BE%D1%87%D0%BD%D0%B8%D0%BA%D0%B0.html · двокомпонентна 2 шари 440 грн/м² · Київ · 2026
https://budver.com/masters/vlashtuvannya-gidroizolyacii-pid-plitkoyu · гідроізоляція під плиткою (тип не вказано) сер. 292 · Україна (агрегат) · 2026</t>
  </si>
  <si>
    <t xml:space="preserve">Армування підлоги сіткою під стяжку</t>
  </si>
  <si>
    <t xml:space="preserve">в ринку</t>
  </si>
  <si>
    <t xml:space="preserve">https://www.rabotniki.ua/uk/chernovye-raboty-po-polu/kiev · сітка 100/126/170 грн/м² · Київ · 2026
https://www.rabotniki.ua/uk/chernovye-raboty-po-polu/kiev · армування 113 · Київ · 2026
https://bud.arsel.com.ua/tsiny-na-budivelni-roboty/ · сітка 85 · Київ і обл. · 01.01.2026
https://bud.arsel.com.ua/tsiny-na-budivelni-roboty/ · армування 105 · Київ і обл. · 01.01.2026</t>
  </si>
  <si>
    <t xml:space="preserve">Вирівнювання підлоги самовирівнюючим розчином</t>
  </si>
  <si>
    <t xml:space="preserve">Дублі: TILING 'Влаштування наливної підлоги' 255 і FLOORING 'Наливна підлога — вирівнювальний шар 10–50 мм' 279. Усі в межах ринку.</t>
  </si>
  <si>
    <t xml:space="preserve">https://www.rabotniki.ua/uk/chernovye-raboty-po-polu/kiev · 180/335/450 грн/м² · Київ · 2026
https://bud.arsel.com.ua/tsiny-na-budivelni-roboty/ · 260 · Київ і обл. · 01.01.2026
https://plitochnik.kiev.ua/ua/%D0%B2%D0%B0%D1%80%D1%82%D1%96%D1%81%D1%82%D1%8C-%D1%80%D0%BE%D0%B1%D1%96%D1%82-%D0%BF%D0%BB%D0%B8%D1%82%D0%BE%D1%87%D0%BD%D0%B8%D0%BA%D0%B0.html · 300 · Київ · 2026
https://mirafloor.com.ua/statti/nalivna-pidloga-tsina-za-m2.html · від 350 (тільки робота) · Київ · 09.2026
https://stroyremdizayn.kiev.ua/rascenki-na-otdelochnye-raboty.html · 250 · Київ · 2026
https://remmo.lviv.ua/plytochni-roboty-lviv/ · 250 · Львів · 25.01.2026
https://www.remonthub.org/prices.php · 400 · Київ · 2026</t>
  </si>
  <si>
    <t xml:space="preserve">Монтаж перехідного (стикового) профілю між покриттями</t>
  </si>
  <si>
    <t xml:space="preserve">https://www.rabotniki.ua/uk/price/ukladka-laminata-price/kiev · прямий поріжок 215 · Київ · 25.10.2026
https://www.rabotniki.ua/uk/price/tsiklevanie-parketa-pokrytie-lakom · 209 · Україна (агрегат) · 25.10.2026
https://www.remonthub.org/prices.php · порогова планка 150 · Київ · 2026</t>
  </si>
  <si>
    <t xml:space="preserve">Монтаж плінтуса дерев'яного</t>
  </si>
  <si>
    <t xml:space="preserve">https://www.rabotniki.ua/uk/price/ukladka-laminata-price/kiev · Київ 262 · Київ · 25.10.2026
https://www.rabotniki.ua/uk/price/tsiklevanie-parketa-pokrytie-lakom · 247 · Україна (агрегат) · 25.10.2026
https://stroyremdizayn.kiev.ua/rascenki-na-otdelochnye-raboty.html · 250 · Київ · 2026
https://bud.arsel.com.ua/tsiny-na-budivelni-roboty/ · 175 · Київ і обл. · 01.01.2026</t>
  </si>
  <si>
    <t xml:space="preserve">Монтаж плінтуса пластик</t>
  </si>
  <si>
    <t xml:space="preserve">https://www.rabotniki.ua/uk/price/ukladka-laminata-price/kiev · Київ 148 · Київ · 25.10.2026
https://www.rabotniki.ua/uk/price/tsiklevanie-parketa-pokrytie-lakom · 140 · Україна (агрегат) · 25.10.2026
https://stroyremdizayn.kiev.ua/rascenki-na-otdelochnye-raboty.html · 150 · Київ · 2026
https://liv-comfort.kyiv.ua/price-remont/index.html · 80 · Київ · 2026
https://bud.arsel.com.ua/tsiny-na-budivelni-roboty/ · 130 · Київ і обл. · 01.01.2026
https://www.remonthub.org/prices.php · 120 · Київ · 2026</t>
  </si>
  <si>
    <t xml:space="preserve">Монтаж плінтуса шпонованого МДФ</t>
  </si>
  <si>
    <t xml:space="preserve">https://www.rabotniki.ua/uk/price/ukladka-laminata-price/kiev · МДФ Київ 270 · Київ · 25.10.2026
https://www.rabotniki.ua/uk/price/tsiklevanie-parketa-pokrytie-lakom · 261 · Україна (агрегат) · 25.10.2026
https://stroyremdizayn.kiev.ua/rascenki-na-otdelochnye-raboty.html · 280 · Київ · 2026
https://liv-comfort.kyiv.ua/price-remont/index.html · МДФ/поліуретан 250 · Київ · 2026
https://bud.arsel.com.ua/tsiny-na-budivelni-roboty/ · МДФ 215 · Київ і обл. · 01.01.2026</t>
  </si>
  <si>
    <t xml:space="preserve">Настил лінолеуму ковроліну</t>
  </si>
  <si>
    <t xml:space="preserve">https://www.rabotniki.ua/uk/price/ukladka-laminata-price/kiev · без клею 207 · Київ · 25.10.2026
https://www.rabotniki.ua/uk/price/tsiklevanie-parketa-pokrytie-lakom · 196 · Україна (агрегат) · 25.10.2026
https://stroyremdizayn.kiev.ua/rascenki-na-otdelochnye-raboty.html · 200 · Київ · 2026
https://liv-comfort.kyiv.ua/price-remont/index.html · 250 · Київ · 2026
https://bud.arsel.com.ua/tsiny-na-budivelni-roboty/ · 150 · Київ і обл. · 01.01.2026
https://www.remonthub.org/prices.php · 190 · Київ · 2026</t>
  </si>
  <si>
    <t xml:space="preserve">Стяжка з керамзитом</t>
  </si>
  <si>
    <t xml:space="preserve">https://www.rabotniki.ua/uk/chernovye-raboty-po-polu/kiev · 400/456/500 грн/м² · Київ · 2026
https://bud.arsel.com.ua/tsiny-na-budivelni-roboty/ · 390 · Київ і обл. · 01.01.2026</t>
  </si>
  <si>
    <t xml:space="preserve">Укладання замкового кварцвінілу (SPC) на підкладку</t>
  </si>
  <si>
    <t xml:space="preserve">https://stroyremdizayn.kiev.ua/rascenki-na-otdelochnye-raboty.html · на підкладку 350 · Київ · 2026
https://liv-comfort.kyiv.ua/price-remont/index.html · замковий 350 · Київ · 2026
https://parket-doska.com.ua/ukladannya-parketu-iz-zavodskoyu-obrobkoyu-malyunok-francuzka-rizka-ugorska-yalinka-na-styazhku/ · плаваючий 'палуба' 450 · Київ · н/д</t>
  </si>
  <si>
    <t xml:space="preserve">Укладання клейового кварцвінілу (LVT) на клей</t>
  </si>
  <si>
    <t xml:space="preserve">https://stroyremdizayn.kiev.ua/rascenki-na-otdelochnye-raboty.html · на клей 420 · Київ · 2026
https://liv-comfort.kyiv.ua/price-remont/index.html · клейовий 400 · Київ · 2026
https://parket-doska.com.ua/ukladannya-parketu-iz-zavodskoyu-obrobkoyu-malyunok-francuzka-rizka-ugorska-yalinka-na-styazhku/ · клейовий 'палуба' 550 · Київ · н/д
https://bud.arsel.com.ua/tsiny-na-budivelni-roboty/ · вінілова плитка 320 · Київ і обл. · 01.01.2026</t>
  </si>
  <si>
    <t xml:space="preserve">Укладання ламінату по діагоналі</t>
  </si>
  <si>
    <t xml:space="preserve">https://stroyremdizayn.kiev.ua/rascenki-na-otdelochnye-raboty.html · 400 · Київ · 2026
https://liv-comfort.kyiv.ua/price-remont/index.html · 400 · Київ · 2026
https://bud.arsel.com.ua/tsiny-na-budivelni-roboty/ · 260 · Київ і обл. · 01.01.2026
https://kabanchik.ua/ua/kyiv/category/ukladannia-laminatu · діагональ 170 · Київ · 10.2026
https://www.remonthub.org/prices.php · 350 · Київ · 2026</t>
  </si>
  <si>
    <t xml:space="preserve">Укладання ламінату прямим способом</t>
  </si>
  <si>
    <t xml:space="preserve">https://www.rabotniki.ua/uk/price/ukladka-laminata-price/kiev · Київ 260/328/400 грн/м² · Київ · 25.10.2026
https://www.rabotniki.ua/uk/price/tsiklevanie-parketa-pokrytie-lakom · ламінат (Україна) 301 · Україна (агрегат) · 25.10.2026
https://stroyremdizayn.kiev.ua/rascenki-na-otdelochnye-raboty.html · 350 · Київ · 2026
https://liv-comfort.kyiv.ua/price-remont/index.html · 350 · Київ · 2026
https://bud.arsel.com.ua/tsiny-na-budivelni-roboty/ · 190 · Київ і обл. · 01.01.2026
https://kabanchik.ua/ua/kyiv/category/ukladannia-laminatu · 250 · Київ · 10.2026
https://www.remonthub.org/prices.php · 250 · Київ · 2026</t>
  </si>
  <si>
    <t xml:space="preserve">Укладання паркетної / інженерної дошки на клей</t>
  </si>
  <si>
    <t xml:space="preserve">https://www.rabotniki.ua/uk/price/ukladka-laminata-price/kiev · Київ, паркетна дошка на клей 551 · Київ · 25.10.2026
https://www.rabotniki.ua/uk/price/tsiklevanie-parketa-pokrytie-lakom · Україна 491 · Україна (агрегат) · 25.10.2026
https://bud.arsel.com.ua/tsiny-na-budivelni-roboty/ · на клей 435 · Київ і обл. · 01.01.2026</t>
  </si>
  <si>
    <t xml:space="preserve">Укладання штучного паркету на клей (палуба, ялинка)</t>
  </si>
  <si>
    <t xml:space="preserve">Одне джерело.</t>
  </si>
  <si>
    <t xml:space="preserve">https://parket-doska.com.ua/ukladannya-parketu-iz-zavodskoyu-obrobkoyu-malyunok-francuzka-rizka-ugorska-yalinka-na-styazhku/ · паркет ялинкою на стяжку 700 грн/м² · Київ · н/д</t>
  </si>
  <si>
    <t xml:space="preserve">Цементно-піщана стяжка понад 20м2</t>
  </si>
  <si>
    <t xml:space="preserve">https://www.rabotniki.ua/uk/chernovye-raboty-po-polu/kiev · ЦПС до 5 см сер. 396 · Київ · 2026
https://bud.arsel.com.ua/tsiny-na-budivelni-roboty/ · 350 · Київ і обл. · 01.01.2026
https://rbk-alba.com/ua/price · 450 · не вказано · 19.10.2026
https://plitochnik.kiev.ua/ua/%D0%B2%D0%B0%D1%80%D1%82%D1%96%D1%81%D1%82%D1%8C-%D1%80%D0%BE%D0%B1%D1%96%D1%82-%D0%BF%D0%BB%D0%B8%D1%82%D0%BE%D1%87%D0%BD%D0%B8%D0%BA%D0%B0.html · 480 · Київ · 2026
https://liv-comfort.kyiv.ua/price-remont/index.html · 400 · Київ · 2026
https://stroyremdizayn.kiev.ua/rascenki-na-otdelochnye-raboty.html · понад 20 м² 360 · Київ · 2026
https://www.remonthub.org/prices.php · 500 · Київ · 2026</t>
  </si>
  <si>
    <t xml:space="preserve">Циклювання паркету з лакуванням</t>
  </si>
  <si>
    <t xml:space="preserve">https://www.rabotniki.ua/uk/price/tsiklevanie-parketa-pokrytie-lakom · 570/738/1000 грн/м² · Україна (агрегат) · 25.10.2026
https://parket-doska.com.ua/ukladannya-parketu-iz-zavodskoyu-obrobkoyu-malyunok-francuzka-rizka-ugorska-yalinka-na-styazhku/ · реставрація лак/олія 850 · Київ · н/д
https://bud.arsel.com.ua/tsiny-na-budivelni-roboty/ · лакування 3 шари зі шпаклюванням 435 · Київ і обл. · 01.01.2026</t>
  </si>
  <si>
    <t xml:space="preserve">Армування кутів гідроізоляційної стрічкою</t>
  </si>
  <si>
    <t xml:space="preserve">https://plitochnik.kiev.ua/ua/%D0%B2%D0%B0%D1%80%D1%82%D1%96%D1%81%D1%82%D1%8C-%D1%80%D0%BE%D0%B1%D1%96%D1%82-%D0%BF%D0%BB%D0%B8%D1%82%D0%BE%D1%87%D0%BD%D0%B8%D0%BA%D0%B0.html · гідроізоляційна стрічка 180 грн/м.п. · Київ · 2026
https://stroyremdizayn.kiev.ua/rascenki-na-otdelochnye-raboty.html · монтаж стрічки 100 грн/м.п. · Київ · 2026</t>
  </si>
  <si>
    <t xml:space="preserve">Виріз отворів більше 70 мм</t>
  </si>
  <si>
    <t xml:space="preserve">https://plitochnik.kiev.ua/ua/%D0%B2%D0%B0%D1%80%D1%82%D1%96%D1%81%D1%82%D1%8C-%D1%80%D0%BE%D0%B1%D1%96%D1%82-%D0%BF%D0%BB%D0%B8%D1%82%D0%BE%D1%87%D0%BD%D0%B8%D0%BA%D0%B0.html · понад 70 мм 360 грн/шт · Київ · 2026
https://plitka.ua/ua/services/ukladannya-plitki/ · понад 70 мм 200 грн/шт (2025) · Київ · 2025</t>
  </si>
  <si>
    <t xml:space="preserve">Влаштування люка ревізії на магнітах</t>
  </si>
  <si>
    <t xml:space="preserve">Нижче медіани, можна підняти до ~2200.</t>
  </si>
  <si>
    <t xml:space="preserve">https://www.rabotniki.ua/uk/plitochnye-raboty · 1150/2300/3500 грн/шт · Україна (агрегат) · 2026
https://www.rabotniki.ua/uk/price/ukladka-plitki-na-pol/kiev · сер. 2235 · Київ · 25.10.2026
https://budver.com/masters/plitochni-roboti · від 1265 · Україна (ціни 'від') · 2026
https://plitochnik.kiev.ua/ua/%D0%B2%D0%B0%D1%80%D1%82%D1%96%D1%81%D1%82%D1%8C-%D1%80%D0%BE%D0%B1%D1%96%D1%82-%D0%BF%D0%BB%D0%B8%D1%82%D0%BE%D1%87%D0%BD%D0%B8%D0%BA%D0%B0.html · від 2400 · Київ · 2026</t>
  </si>
  <si>
    <t xml:space="preserve">Встановлення профілю для плитки</t>
  </si>
  <si>
    <t xml:space="preserve">https://www.rabotniki.ua/uk/plitochnye-raboty · куточки 100/183/300 грн/м.п. · Україна (агрегат) · 2026
https://www.rabotniki.ua/uk/price/ukladka-plitki-na-pol/kiev · сер. 197 · Київ · 25.10.2026
https://kabanchik.ua/ua/kyiv/category/ukladannia-plytky · 160 · Київ · 10.2026
https://plitochnik.kiev.ua/ua/%D0%B2%D0%B0%D1%80%D1%82%D1%96%D1%81%D1%82%D1%8C-%D1%80%D0%BE%D0%B1%D1%96%D1%82-%D0%BF%D0%BB%D0%B8%D1%82%D0%BE%D1%87%D0%BD%D0%B8%D0%BA%D0%B0.html · кутовий профіль 264 · Київ · 2026
https://plitochnik.kiev.ua/ua/%D0%B2%D0%B0%D1%80%D1%82%D1%96%D1%81%D1%82%D1%8C-%D1%80%D0%BE%D0%B1%D1%96%D1%82-%D0%BF%D0%BB%D0%B8%D1%82%D0%BE%D1%87%D0%BD%D0%B8%D0%BA%D0%B0.html · прямий профіль 324 · Київ · 2026
https://budver.com/masters/plitochni-roboti · від 110 · Україна (ціни 'від') · 2026</t>
  </si>
  <si>
    <t xml:space="preserve">Встановлення фризу, плінтуса</t>
  </si>
  <si>
    <t xml:space="preserve">https://www.rabotniki.ua/uk/plitochnye-raboty · фриз до 100 мм 250/438/630 грн/м.п. · Україна (агрегат) · 2026
https://www.rabotniki.ua/uk/plitochnye-raboty · керамічний плінтус 300/525/800 · Україна (агрегат) · 2026
https://kabanchik.ua/ua/kyiv/category/ukladannia-plytky · керамічний плінтус 420 · Київ · 10.2026
https://plitochnik.kiev.ua/ua/%D0%B2%D0%B0%D1%80%D1%82%D1%96%D1%81%D1%82%D1%8C-%D1%80%D0%BE%D0%B1%D1%96%D1%82-%D0%BF%D0%BB%D0%B8%D1%82%D0%BE%D1%87%D0%BD%D0%B8%D0%BA%D0%B0.html · плінтус/фриз 360 · Київ · 2026
https://liv-comfort.kyiv.ua/price-remont/index.html · плитковий плінтус 600 · Київ · 2026
https://remmo.lviv.ua/plytochni-roboty-lviv/ · плитковий плінтус 500 · Львів · 25.01.2026
https://www.remonthub.org/prices.php · фриз 400 · Київ · 2026</t>
  </si>
  <si>
    <t xml:space="preserve">Демонтаж плитки</t>
  </si>
  <si>
    <t xml:space="preserve">DF: 150–300 грн/м².</t>
  </si>
  <si>
    <t xml:space="preserve">https://budver.com/masters/plitochni-roboti · від 176 грн/м² · Україна (ціни 'від') · 2026
https://rbk-alba.com/ua/price · з підлоги 300 / зі стін 250 · не вказано · 19.10.2026
https://plitochnik.kiev.ua/ua/%D0%B2%D0%B0%D1%80%D1%82%D1%96%D1%81%D1%82%D1%8C-%D1%80%D0%BE%D0%B1%D1%96%D1%82-%D0%BF%D0%BB%D0%B8%D1%82%D0%BE%D1%87%D0%BD%D0%B8%D0%BA%D0%B0.html · демонтаж покриття від 240 · Київ · 2026
https://bud.arsel.com.ua/tsiny-na-budivelni-roboty/ · 150 · Київ і обл. · 01.01.2026
https://remmo.lviv.ua/plytochni-roboty-lviv/ · 150 · Львів · 25.01.2026</t>
  </si>
  <si>
    <t xml:space="preserve">Запил під 45° кута широкоформатної плитки</t>
  </si>
  <si>
    <t xml:space="preserve">https://plitochnik.kiev.ua/ua/%D1%83%D0%BA%D0%BB%D0%B0%D0%B4%D0%B0%D0%BD%D0%BD%D1%8F-%D1%84%D0%BE%D1%80%D0%BC%D0%B0%D1%82%D0%BD%D0%BE%D0%B3%D0%BE-%D0%BA%D0%B5%D1%80%D0%B0%D0%BC%D0%BE%D0%B3%D1%80%D0%B0%D0%BD%D1%96%D1%82%D0%B0.html · 45° для широкого формату 720 грн/м.п. · Київ · 2026
https://stroyremdizayn.kiev.ua/rascenki-na-otdelochnye-raboty.html · великоформатний керамограніт 550 грн/м.п. · Київ · 2026</t>
  </si>
  <si>
    <t xml:space="preserve">Заповнення товстого шва напівсухою сумішшю</t>
  </si>
  <si>
    <t xml:space="preserve">rabotniki 154 грн/м.п. — інша одиниця.</t>
  </si>
  <si>
    <t xml:space="preserve">https://plitochnik.kiev.ua/ua/%D0%B2%D0%B0%D1%80%D1%82%D1%96%D1%81%D1%82%D1%8C-%D1%80%D0%BE%D0%B1%D1%96%D1%82-%D0%BF%D0%BB%D0%B8%D1%82%D0%BE%D1%87%D0%BD%D0%B8%D0%BA%D0%B0.html · напівсуха 264 грн/м² · Київ · 2026
https://stroyremdizayn.kiev.ua/rascenki-na-otdelochnye-raboty.html · суха суміш 220 грн/м² · Київ · 2026</t>
  </si>
  <si>
    <t xml:space="preserve">Нанесення гідроізоляційної мастики у 2 шари</t>
  </si>
  <si>
    <t xml:space="preserve">У межах, але нижче медіани (200). DF: 150–300.</t>
  </si>
  <si>
    <t xml:space="preserve">https://budver.com/masters/vlashtuvannya-gidroizolyacii-pid-plitkoyu · 165/292/418 грн/м² · Україна (агрегат) · 2026
https://plitochnik.kiev.ua/ua/%D0%B2%D0%B0%D1%80%D1%82%D1%96%D1%81%D1%82%D1%8C-%D1%80%D0%BE%D0%B1%D1%96%D1%82-%D0%BF%D0%BB%D0%B8%D1%82%D0%BE%D1%87%D0%BD%D0%B8%D0%BA%D0%B0.html · акрил/цемент 2 шари 264 · Київ · 2026
https://stroyremdizayn.kiev.ua/rascenki-na-otdelochnye-raboty.html · мастика 150 · Київ · 2026
https://liv-comfort.kyiv.ua/price-remont/index.html · 120 · Київ · 2026
https://bud.arsel.com.ua/tsiny-na-budivelni-roboty/ · фарбувальна від 200 · Київ і обл. · 01.01.2026
https://www.remonthub.org/prices.php · гідроізоляція підлог 2 шари 200 · Київ · 2026</t>
  </si>
  <si>
    <t xml:space="preserve">Обробка захисною сумішшю, гідрофобізатором</t>
  </si>
  <si>
    <t xml:space="preserve">https://plitochnik.kiev.ua/ua/%D0%B2%D0%B0%D1%80%D1%82%D1%96%D1%81%D1%82%D1%8C-%D1%80%D0%BE%D0%B1%D1%96%D1%82-%D0%BF%D0%BB%D0%B8%D1%82%D0%BE%D1%87%D0%BD%D0%B8%D0%BA%D0%B0.html · просочення/лак/гідрофоб 120 грн/м² · Київ · 2026
https://kabanchik.ua/ua/kyiv/category/ukladannia-plytky · гідрофобізація швів від 100 · Київ · 10.2026</t>
  </si>
  <si>
    <t xml:space="preserve">Різ плитки під 90° зі шліфуванням (чистовий різ)</t>
  </si>
  <si>
    <t xml:space="preserve">Біля нижньої межі (медіана ~270).</t>
  </si>
  <si>
    <t xml:space="preserve">https://www.rabotniki.ua/uk/plitochnye-raboty · різання+шліфування 170/300/450 грн/м.п. · Україна (агрегат) · 2026
https://www.rabotniki.ua/uk/price/ukladka-plitki-na-pol/kiev · сер. 326 · Київ · 25.10.2026
https://kabanchik.ua/ua/kyiv/category/ukladannia-plytky · 270 · Київ · 10.2026
https://bud.arsel.com.ua/tsiny-na-budivelni-roboty/ · 290 · Київ і обл. · 01.01.2026
https://plitochnik.kiev.ua/ua/%D0%B2%D0%B0%D1%80%D1%82%D1%96%D1%81%D1%82%D1%8C-%D1%80%D0%BE%D0%B1%D1%96%D1%82-%D0%BF%D0%BB%D0%B8%D1%82%D0%BE%D1%87%D0%BD%D0%B8%D0%BA%D0%B0.html · чистовий різ 264 · Київ · 2026
https://plitka.ua/ua/services/ukladannya-plitki/ · чистий різ 250 (2025) · Київ · 2025
https://remmo.lviv.ua/plytochni-roboty-lviv/ · прямий різ 250 · Львів · 25.01.2026</t>
  </si>
  <si>
    <t xml:space="preserve">Укладання багатокутників: гексагон, стільники</t>
  </si>
  <si>
    <t xml:space="preserve">https://plitochnik.kiev.ua/ua/%D0%B2%D0%B0%D1%80%D1%82%D1%96%D1%81%D1%82%D1%8C-%D1%80%D0%BE%D0%B1%D1%96%D1%82-%D0%BF%D0%BB%D0%B8%D1%82%D0%BE%D1%87%D0%BD%D0%B8%D0%BA%D0%B0.html · гексагон 1056 грн/м² · Київ · 2026
https://plitka.ua/ua/services/ukladannya-plitki/ · гексагон/багатокутник 800 грн/м² (2025) · Київ · 2025</t>
  </si>
  <si>
    <t xml:space="preserve">Укладання керамограніту 20 мм</t>
  </si>
  <si>
    <t xml:space="preserve">https://plitochnik.kiev.ua/ua/%D0%B2%D0%B0%D1%80%D1%82%D1%96%D1%81%D1%82%D1%8C-%D1%80%D0%BE%D0%B1%D1%96%D1%82-%D0%BF%D0%BB%D0%B8%D1%82%D0%BE%D1%87%D0%BD%D0%B8%D0%BA%D0%B0.html · керамограніт 20 мм 1140 грн/м² · Київ · 2026
https://www.rabotniki.ua/uk/plitochnye-raboty · керамограніт від 15 мм 800/1385/2000 · Україна (агрегат) · 2026</t>
  </si>
  <si>
    <t xml:space="preserve">Укладання мозаїки</t>
  </si>
  <si>
    <t xml:space="preserve">У межах діапазону, але нижче медіани (1200) і значно нижче середньої rabotniki (1743). Можна підняти до ~1200.</t>
  </si>
  <si>
    <t xml:space="preserve">https://www.rabotniki.ua/uk/plitochnye-raboty · стіни мозаїкою 1000/1743/2500 грн/м² · Україна (агрегат) · 2026
https://budver.com/masters/plitochni-roboti · мозаїка від 990 грн/м² · Україна (ціни 'від') · 2026
https://plitochnik.kiev.ua/ua/%D0%B2%D0%B0%D1%80%D1%82%D1%96%D1%81%D1%82%D1%8C-%D1%80%D0%BE%D0%B1%D1%96%D1%82-%D0%BF%D0%BB%D0%B8%D1%82%D0%BE%D1%87%D0%BD%D0%B8%D0%BA%D0%B0.html · мозаїка від 1140 грн/м² · Київ · 2026
https://stroyremdizayn.kiev.ua/rascenki-na-otdelochnye-raboty.html · мозаїка 2500 грн/м² · Київ · 2026
https://remmo.lviv.ua/plytochni-roboty-lviv/ · мозаїка на підлогу/стіни 1200 грн/м² · Львів · 25.01.2026</t>
  </si>
  <si>
    <t xml:space="preserve">Укладання натурального каменю граніту, мармуру</t>
  </si>
  <si>
    <t xml:space="preserve">https://www.rabotniki.ua/uk/plitochnye-raboty · мармур/граніт 1200/1967/2705 грн/м² · Україна (агрегат) · 2026
https://budver.com/masters/plitochni-roboti · від 1320 грн/м² · Україна (ціни 'від') · 2026
https://plitochnik.kiev.ua/ua/%D0%B2%D0%B0%D1%80%D1%82%D1%96%D1%81%D1%82%D1%8C-%D1%80%D0%BE%D0%B1%D1%96%D1%82-%D0%BF%D0%BB%D0%B8%D1%82%D0%BE%D1%87%D0%BD%D0%B8%D0%BA%D0%B0.html · натуральний камінь від 1140 грн/м² · Київ · 2026</t>
  </si>
  <si>
    <t xml:space="preserve">Укладання плитки 1000х1000 мм</t>
  </si>
  <si>
    <t xml:space="preserve">https://stroyremdizayn.kiev.ua/rascenki-na-otdelochnye-raboty.html · 1000×1000 1100 грн/м² · Київ · 2026
https://plitka.ua/ua/services/ukladannya-plitki/ · 1000х1000 900 грн/м² (2025) · Київ · 2025</t>
  </si>
  <si>
    <t xml:space="preserve">Укладання плитки 100х100</t>
  </si>
  <si>
    <t xml:space="preserve">Великий розкид за джерелами.</t>
  </si>
  <si>
    <t xml:space="preserve">https://plitka.ua/ua/services/ukladannya-plitki/ · 100х100 580 грн/м² (2025) · Київ · 2025
https://remmo.lviv.ua/plytochni-roboty-lviv/ · плитка 10×10 700 грн/м² · Львів · 25.01.2026
https://plitochnik.kiev.ua/ua/%D0%B2%D0%B0%D1%80%D1%82%D1%96%D1%81%D1%82%D1%8C-%D1%80%D0%BE%D0%B1%D1%96%D1%82-%D0%BF%D0%BB%D0%B8%D1%82%D0%BE%D1%87%D0%BD%D0%B8%D0%BA%D0%B0.html · дрібна плитка 'цеглинка' 984 грн/м² · Київ · 2026
https://stroyremdizayn.kiev.ua/rascenki-na-otdelochnye-raboty.html · дрібноформатна 1250 грн/м² · Київ · 2026</t>
  </si>
  <si>
    <t xml:space="preserve">Укладання плитки 1200х2400 мм</t>
  </si>
  <si>
    <t xml:space="preserve">SR — викид (4500); PK найближчий аналог.</t>
  </si>
  <si>
    <t xml:space="preserve">https://plitochnik.kiev.ua/ua/%D1%83%D0%BA%D0%BB%D0%B0%D0%B4%D0%B0%D0%BD%D0%BD%D1%8F-%D1%84%D0%BE%D1%80%D0%BC%D0%B0%D1%82%D0%BD%D0%BE%D0%B3%D0%BE-%D0%BA%D0%B5%D1%80%D0%B0%D0%BC%D0%BE%D0%B3%D1%80%D0%B0%D0%BD%D1%96%D1%82%D0%B0.html · 1200×2400 1920 грн/м² · Київ · 2026
https://stroyremdizayn.kiev.ua/rascenki-na-otdelochnye-raboty.html · 1200×2500 4500 грн/м² · Київ · 2026</t>
  </si>
  <si>
    <t xml:space="preserve">Укладання плитки 1600х3200 мм</t>
  </si>
  <si>
    <t xml:space="preserve">Фактично одне порівнюване джерело. Решта наших великих форматів близька до прайсу plitochnik.kiev.ua (1000×2000 1680, 1000×3000 2160, 1200×3200 2400, 1500×3000 2200), тобто відхилення ±10%.</t>
  </si>
  <si>
    <t xml:space="preserve">https://plitochnik.kiev.ua/ua/%D1%83%D0%BA%D0%BB%D0%B0%D0%B4%D0%B0%D0%BD%D0%BD%D1%8F-%D1%84%D0%BE%D1%80%D0%BC%D0%B0%D1%82%D0%BD%D0%BE%D0%B3%D0%BE-%D0%BA%D0%B5%D1%80%D0%B0%D0%BC%D0%BE%D0%B3%D1%80%D0%B0%D0%BD%D1%96%D1%82%D0%B0.html · 1600×3200 2640 грн/м² · Київ · 2026
https://stroyremdizayn.kiev.ua/rascenki-na-otdelochnye-raboty.html · 1200×3000 5000 грн/м² (інший формат) · Київ · 2026</t>
  </si>
  <si>
    <t xml:space="preserve">Укладання плитки 800х1600</t>
  </si>
  <si>
    <t xml:space="preserve">https://plitka.ua/ua/services/ukladannya-plitki/ · 800х1600 900 грн/м² (2025) · Київ · 2025
https://plitochnik.kiev.ua/ua/%D0%B2%D0%B0%D1%80%D1%82%D1%96%D1%81%D1%82%D1%8C-%D1%80%D0%BE%D0%B1%D1%96%D1%82-%D0%BF%D0%BB%D0%B8%D1%82%D0%BE%D1%87%D0%BD%D0%B8%D0%BA%D0%B0.html · великий формат від 936 грн/м² · Київ · 2026
https://stroyremdizayn.kiev.ua/rascenki-na-otdelochnye-raboty.html · 1500×750 1100 грн/м² · Київ · 2026</t>
  </si>
  <si>
    <t xml:space="preserve">Укладання плитки дошка до 1200 мм</t>
  </si>
  <si>
    <t xml:space="preserve">Наша ціна біля нижньої межі.</t>
  </si>
  <si>
    <t xml:space="preserve">https://plitochnik.kiev.ua/ua/%D0%B2%D0%B0%D1%80%D1%82%D1%96%D1%81%D1%82%D1%8C-%D1%80%D0%BE%D0%B1%D1%96%D1%82-%D0%BF%D0%BB%D0%B8%D1%82%D0%BE%D1%87%D0%BD%D0%B8%D0%BA%D0%B0.html · плитка під дерево до 1200 мм 780 грн/м² · Київ · 2026
https://plitka.ua/ua/services/ukladannya-plitki/ · дошка до 1200 800 грн/м² (2025) · Київ · 2025
https://www.rabotniki.ua/uk/plitochnye-raboty · керамічний паркет до 1200 мм сер. 1267 · Україна (агрегат) · 2026</t>
  </si>
  <si>
    <t xml:space="preserve">Укладання ректифікованої плитки з мінімальним швом (1–1,5 мм)</t>
  </si>
  <si>
    <t xml:space="preserve">PK: +30% до базової для шва 0,5 мм.</t>
  </si>
  <si>
    <t xml:space="preserve">https://www.rabotniki.ua/uk/plitochnye-raboty · ректифікована 750/1118/1565 грн/м² · Україна (агрегат) · 2026
https://www.rabotniki.ua/uk/plitochnye-raboty · безшовна 800/1366/2000 грн/м² · Україна (агрегат) · 2026
https://budver.com/masters/plitochni-roboti · безшовне від 880 грн/м² · Україна (ціни 'від') · 2026</t>
  </si>
  <si>
    <t xml:space="preserve">Ґрунтування поверхні</t>
  </si>
  <si>
    <t xml:space="preserve">https://www.rabotniki.ua/uk/plitochnye-raboty · 25/41/60 грн/м² · Україна (агрегат) · 2026
https://www.rabotniki.ua/uk/price/ukladka-plitki-na-pol/kiev · 47 · Київ · 25.10.2026
https://budver.com/masters/plitochni-roboti · від 27 · Україна (ціни 'від') · 2026
https://bud.arsel.com.ua/tsiny-na-budivelni-roboty/ · 35 · Київ і обл. · 01.01.2026
https://plitochnik.kiev.ua/ua/%D0%B2%D0%B0%D1%80%D1%82%D1%96%D1%81%D1%82%D1%8C-%D1%80%D0%BE%D0%B1%D1%96%D1%82-%D0%BF%D0%BB%D0%B8%D1%82%D0%BE%D1%87%D0%BD%D0%B8%D0%BA%D0%B0.html · 48 · Київ · 2026
https://remmo.lviv.ua/plytochni-roboty-lviv/ · 25 · Львів · 25.01.2026</t>
  </si>
  <si>
    <t xml:space="preserve">Гіпсокартон</t>
  </si>
  <si>
    <t xml:space="preserve">Монтаж відкосів з гіпсокартону на профілі</t>
  </si>
  <si>
    <t xml:space="preserve">На самому мінімумі. Варіант 'на клей' (230) — ~350.</t>
  </si>
  <si>
    <t xml:space="preserve">https://www.rabotniki.ua/uk/montazh-gipsokartona · Монтаж укосів з ГКЛ 230/393/650 · Україна · 2026
https://www.rabotniki.ua/uk/montazh-gipsokartona/kiev · 230/388/550 · Київ · 2026
https://www.rabotniki.ua/uk/montazh-gipsokartona/lvov · 400/417/450 · Львів · 2026
https://bud.arsel.com.ua/tsiny-na-budivelni-roboty/ · 340 · Київ · 2026-01
https://www.remonthub.org/prices.php · 350 · Київ · 2026
https://kabanchik.ua/ua/kyiv/tag/montazh-konstruktsii-z-hipsokartonu · 390 · Київ · 2026-10
https://budver.com/masters/gipsokartonni-roboti · від 253 · Київ та інші · 2026</t>
  </si>
  <si>
    <t xml:space="preserve">Монтаж профілю тіньового шва по периметру стелі</t>
  </si>
  <si>
    <t xml:space="preserve">Лише rabotniki (3 міські зрізи, мало пропозицій).</t>
  </si>
  <si>
    <t xml:space="preserve">https://www.rabotniki.ua/uk/montazh-gipsokartona · Профіль тіньового шва 500/624/800 · Україна · 2026
https://www.rabotniki.ua/uk/montazh-gipsokartona/kiev · 600/630/700 · Київ · 2026
https://www.rabotniki.ua/uk/montazh-gipsokartona/lvov · 550/667/750 · Львів · 2026</t>
  </si>
  <si>
    <t xml:space="preserve">Монтаж треків прихованого карниза</t>
  </si>
  <si>
    <t xml:space="preserve">Лише rabotniki; нижче мінімуму.</t>
  </si>
  <si>
    <t xml:space="preserve">https://www.rabotniki.ua/uk/montazh-gipsokartona · Треки і карнизи прихованого монтажу 1500/2032/2800 · Україна · 2026
https://www.rabotniki.ua/uk/montazh-gipsokartona/kiev · 1500/1800/2200 · Київ · 2026
https://www.rabotniki.ua/uk/montazh-gipsokartona/lvov · 2000 · Львів · 2026</t>
  </si>
  <si>
    <t xml:space="preserve">Облаштування ніші ГКЛ з підсвічуванням</t>
  </si>
  <si>
    <t xml:space="preserve">Також є 'Монтаж ніші під прихований карниз' 550 — схожа робота, ціни мають бути близькі.</t>
  </si>
  <si>
    <t xml:space="preserve">https://www.rabotniki.ua/uk/montazh-gipsokartona · Ніша в стелі з підсвічуванням 500/666/900 · Україна · 2026
https://www.rabotniki.ua/uk/montazh-gipsokartona/kiev · 350/613/730 · Київ · 2026
https://www.rabotniki.ua/uk/montazh-gipsokartona/lvov · 400/583/750 · Львів · 2026
https://kabanchik.ua/ua/kyiv/tag/montazh-konstruktsii-z-hipsokartonu · 590 · Київ · 2026-10
https://budver.com/masters/gipsokartonni-roboti · від 550 · Київ та інші · 2026
https://www.remonthub.org/prices.php · 800 · Київ · 2026</t>
  </si>
  <si>
    <t xml:space="preserve">Обшивка інсталяції в т.ч. отвори</t>
  </si>
  <si>
    <t xml:space="preserve">Одиниці різні (шт vs м²), але коробка інсталяції ~1–1,5 м², тож 900/шт явно мало.</t>
  </si>
  <si>
    <t xml:space="preserve">https://stroyremdizayn.kiev.ua/rascenki-na-otdelochnye-raboty.html · Обшивка інсталяції, в т.ч. отвори 2300 грн/шт · Київ · 2026
https://www.rabotniki.ua/uk/montazh-gipsokartona · Оздоблення г/к інсталяції в с/в 1390/2410/3200 грн/м² · Україна · 2026
https://budver.com/masters/gipsokartonni-roboti · від 1529 грн/м² · Київ та інші · 2026</t>
  </si>
  <si>
    <t xml:space="preserve">Шпаклювання та шліфування гіпсокартону (без склополотна)</t>
  </si>
  <si>
    <t xml:space="preserve">Якщо це повна підготовка ГКЛ під фарбування — нижче ринку. Якщо лише шви+шурупи, це дубль 'Шпаклювання швів ГКЛ' (100).</t>
  </si>
  <si>
    <t xml:space="preserve">https://kabanchik.ua/ua/kyiv/category/shpaklivka-stin · ГКЛ стіни під фарбування 190 · Київ · 2026-10
https://www.rabotniki.ua/uk/malyarnye-raboty/kiev · Підготовка г.к. стіни під фарбування 300/438/600 · Київ · 2026
https://budver.com/masters/shtukaturno-malyarni-roboti · від 275 · Київ та інші · 2026
https://creativebuild.com.ua/shpaklyuvannya-stin-tsina-lviv/ · ГКЛ під фарбування 200–300 (Львів) · Львів · 2025-10</t>
  </si>
  <si>
    <t xml:space="preserve">Маляр</t>
  </si>
  <si>
    <t xml:space="preserve">Венеціанська штукатурка</t>
  </si>
  <si>
    <t xml:space="preserve">Нижче мінімуму обох джерел.</t>
  </si>
  <si>
    <t xml:space="preserve">https://www.rabotniki.ua/uk/dekorativnaya-otdelka-sten · Венеціанська штукатурка 495/665/890 · Україна · 2026
https://budver.com/masters/shtukaturno-malyarni-roboti · Нанесення венеціанської штукатурки від 440 · Київ та інші · 2026</t>
  </si>
  <si>
    <t xml:space="preserve">Машинна штукатурка стель</t>
  </si>
  <si>
    <t xml:space="preserve">Нижче мінімуму в усіх джерелах.</t>
  </si>
  <si>
    <t xml:space="preserve">https://www.rabotniki.ua/uk/shtukaturnye-raboty · Машинна штукатурка стель 350/478/650 · Україна · 2026
https://www.rabotniki.ua/uk/shtukaturnye-raboty/kiev · 400/518/650 · Київ · 2026
https://www.rabotniki.ua/uk/shtukaturnye-raboty/lvov · 320/481/600 · Львів · 2026
https://kabanchik.ua/ua/kyiv/category/mashynna-shtukaturka · 440 грн/м² · Київ · 2026-10
https://budver.com/masters/shtukaturno-malyarni-roboti · від 385 · Київ та інші · 2026</t>
  </si>
  <si>
    <t xml:space="preserve">Нанесення рідких шпалер</t>
  </si>
  <si>
    <t xml:space="preserve">На мінімумі ринку.</t>
  </si>
  <si>
    <t xml:space="preserve">https://www.rabotniki.ua/uk/pokleyka-oboev · Нанесення рідких шпалер 180–420, сер. 298 · Україна · 2026
https://bud.arsel.com.ua/tsiny-na-budivelni-roboty/ · 265 · Київ · 2026-01
https://vikna.tv/styl-zhyttya/skilky-koshtuye-pokleyity-kvadratnyj-metr-shpaler-u-2026-rotsi/ · ~266–269 · Україна · 2026-09-21</t>
  </si>
  <si>
    <t xml:space="preserve">Шліфування штукатурки</t>
  </si>
  <si>
    <t xml:space="preserve">Нижче мінімуму всіх джерел.</t>
  </si>
  <si>
    <t xml:space="preserve">https://www.rabotniki.ua/uk/shtukaturnye-raboty · Шліфування штукатурки стін 70/95/140 · Україна · 2026
https://www.rabotniki.ua/uk/shtukaturnye-raboty/kiev · 70/85/100 · Київ · 2026
https://www.rabotniki.ua/uk/shtukaturnye-raboty/lvov · 70/109/150 · Львів · 2026
https://stroyremdizayn.kiev.ua/rascenki-na-otdelochnye-raboty.html · Шліфування стін після штукатурки (не нами) 100 · Київ · 2026</t>
  </si>
  <si>
    <t xml:space="preserve">Штукатурка Марморіно</t>
  </si>
  <si>
    <t xml:space="preserve">Лише одне джерело з повним діапазоном (rabotniki, 60 пропозицій); друге — 'від'. Підвищувати обережно.</t>
  </si>
  <si>
    <t xml:space="preserve">https://www.rabotniki.ua/uk/dekorativnaya-otdelka-sten · Штукатурка Марморіно 450/802/1090 · Україна · 2026
https://budver.com/masters/shtukaturno-malyarni-roboti · Венеціанська під мармур від 440 · Київ та інші · 2026</t>
  </si>
  <si>
    <t xml:space="preserve">Штукатурка Марсельський віск</t>
  </si>
  <si>
    <t xml:space="preserve">На мінімумі; одне джерело з діапазоном.</t>
  </si>
  <si>
    <t xml:space="preserve">https://www.rabotniki.ua/uk/dekorativnaya-otdelka-sten · Марсельський віск 500/672/850 · Україна · 2026
https://budver.com/masters/shtukaturno-malyarni-roboti · декоративна від 330–440 · Київ та інші · 2026</t>
  </si>
  <si>
    <t xml:space="preserve">Штукатурка стін машинкою до 2см</t>
  </si>
  <si>
    <t xml:space="preserve">Нижче медіани і нижче мінімуму Києва (350).</t>
  </si>
  <si>
    <t xml:space="preserve">https://www.rabotniki.ua/uk/shtukaturnye-raboty · Машинна штукатурка стін 250/357/500 · Україна · 2026
https://www.rabotniki.ua/uk/shtukaturnye-raboty/kiev · 350/414/500 · Київ · 2026
https://www.rabotniki.ua/uk/shtukaturnye-raboty/lvov · 280/327/350 · Львів · 2026
https://stroyremdizayn.kiev.ua/rascenki-na-otdelochnye-raboty.html · машинна (до 2 см) 330 · Київ · 2026
https://kabanchik.ua/ua/kyiv/category/mashynna-shtukaturka · Машинна штукатурка стін 370 грн/м² (Вартість послуг) · Київ · 2026-10
https://budver.com/masters/shtukaturno-malyarni-roboti · від 275 · Київ та інші · 2026
https://domremonta.com.ua/uk/mashinnaja-shtukaturka/ · гіпсова по маяках від 160 (лише робота) · Київ · 2026-02</t>
  </si>
  <si>
    <t xml:space="preserve">Штукатурка стін машинкою понад 2см</t>
  </si>
  <si>
    <t xml:space="preserve">Має бути дорожче за &lt;2 см; ринок товщини &gt;2 см ~360–420.</t>
  </si>
  <si>
    <t xml:space="preserve">https://stroyremdizayn.kiev.ua/rascenki-na-otdelochnye-raboty.html · машинна (понад 2 см) 360 · Київ · 2026
https://www.rabotniki.ua/uk/shtukaturnye-raboty · Машинна штукатурка стін сер. 357 (без поділу на товщину) · Україна · 2026
https://www.rabotniki.ua/uk/shtukaturnye-raboty/kiev · сер. 414, макс 500 · Київ · 2026</t>
  </si>
  <si>
    <t xml:space="preserve">Монтаж конструкцій (перегородки 2 сторони) із гіпсокартону в 1 шар</t>
  </si>
  <si>
    <t xml:space="preserve">Вище середнього навіть у Києві (672).</t>
  </si>
  <si>
    <t xml:space="preserve">https://www.rabotniki.ua/uk/montazh-gipsokartona · Перегородки з ГКЛ (2 сторони) 380/680/1100 · Україна · 2026
https://www.rabotniki.ua/uk/montazh-gipsokartona/kiev · 430/672/1100 · Київ · 2026
https://www.rabotniki.ua/uk/montazh-gipsokartona/lvov · 400/640/900 · Львів · 2026
https://www.remonthub.org/prices.php · перегородка (один шар) 550 · Київ · 2026
https://liv-comfort.kyiv.ua/price-remont/index.html · Монтаж ГКЛ (стеля, стіна, перегородка) 550 · Київ · 2026
https://kabanchik.ua/ua/kyiv/tag/montazh-konstruktsii-z-hipsokartonu · 590 · Київ · 2026-10
https://stroyremdizayn.kiev.ua/rascenki-na-otdelochnye-raboty.html · 1 шар 650 · Київ · 2026
https://budver.com/masters/gipsokartonni-roboti · від 418 · Київ та інші · 2026</t>
  </si>
  <si>
    <t xml:space="preserve">Монтаж конструкцій (перегородки 2 сторони) із гіпсокартону в 2 шари</t>
  </si>
  <si>
    <t xml:space="preserve">Вище всіх прайсів з явними 2 шарами (700–750).</t>
  </si>
  <si>
    <t xml:space="preserve">https://www.remonthub.org/prices.php · перегородка (два шари) 700 · Київ · 2026
https://liv-comfort.kyiv.ua/price-remont/index.html · посилений у 2 шари 750 · Київ · 2026
https://stroyremdizayn.kiev.ua/rascenki-na-otdelochnye-raboty.html · 2 шари 750 · Київ · 2026
https://www.rabotniki.ua/uk/montazh-gipsokartona/kiev · перегородки (без поділу на шари) макс 1100 · Київ · 2026</t>
  </si>
  <si>
    <t xml:space="preserve">Нанесення декоративної штукатурки "гротто", "1000 ліній"</t>
  </si>
  <si>
    <t xml:space="preserve">На максимумі ринку.</t>
  </si>
  <si>
    <t xml:space="preserve">https://www.rabotniki.ua/uk/dekorativnaya-otdelka-sten · Штукатурка Гротто 360/519/700 · Україна · 2026
https://stroyremdizayn.kiev.ua/rascenki-na-otdelochnye-raboty.html · гротто, 1000 ліній 450 · Київ · 2026</t>
  </si>
  <si>
    <t xml:space="preserve">Нанесення декоративної штукатурки "китайський шовк", "вельвет", "лава", "сахара"</t>
  </si>
  <si>
    <t xml:space="preserve">Біля максимуму.</t>
  </si>
  <si>
    <t xml:space="preserve">https://www.rabotniki.ua/uk/dekorativnaya-otdelka-sten · Креос (Сахара) 300/513/700 · Україна · 2026
https://stroyremdizayn.kiev.ua/rascenki-na-otdelochnye-raboty.html · китайський шовк, вельвет, лава, сахара 450 · Київ · 2026</t>
  </si>
  <si>
    <t xml:space="preserve">Поклейка шпалер шириною 100 см на стіну (без підбору)</t>
  </si>
  <si>
    <t xml:space="preserve">Вище медіани на ~20%.</t>
  </si>
  <si>
    <t xml:space="preserve">https://www.rabotniki.ua/uk/pokleyka-oboev · Вінілові/флізелінові на стіну 120–350, сер. 216 · Україна · 2026
https://bud.arsel.com.ua/tsiny-na-budivelni-roboty/ · вінілові/флізелінові 155 · Київ · 2026-01
https://www.remonthub.org/prices.php · 180 · Київ · 2026
https://kabanchik.ua/ua/kyiv/category/pokleika-shpaler · флізелінові без підбору 190 · Київ · 2026-10
https://stroyremdizayn.kiev.ua/rascenki-na-otdelochnye-raboty.html · 100 см без підбору 180 · Київ · 2026
https://vikna.tv/styl-zhyttya/skilky-koshtuye-pokleyity-kvadratnyj-metr-shpaler-u-2026-rotsi/ · вініл/флізелін ~200 · Україна · 2026-09-21</t>
  </si>
  <si>
    <t xml:space="preserve">Поклейка шпалер шириною 50 см на стіну (з підбором)</t>
  </si>
  <si>
    <t xml:space="preserve">Найдорожча з 4 позицій шпалер; ринок з підбором ~200–220.</t>
  </si>
  <si>
    <t xml:space="preserve">https://kabanchik.ua/ua/kyiv/category/pokleika-shpaler · флізелінові з підбором 200 · Київ · 2026-10
https://stroyremdizayn.kiev.ua/rascenki-na-otdelochnye-raboty.html · 50 см з підбором 220 · Київ · 2026
https://www.rabotniki.ua/uk/pokleyka-oboev · паперові сер. 217, макс 350 · Україна · 2026
https://bud.arsel.com.ua/tsiny-na-budivelni-roboty/ · паперові 175 · Київ · 2026-01</t>
  </si>
  <si>
    <t xml:space="preserve">Монтаж гіпсокартону на стіни на клей (безкаркасно)</t>
  </si>
  <si>
    <t xml:space="preserve">Лише одне джерело (400); на rabotniki окремої позиції немає.</t>
  </si>
  <si>
    <t xml:space="preserve">https://www.remonthub.org/prices.php · Облицювання стін ГКЛ на клей 400 · Київ · 2026</t>
  </si>
  <si>
    <t xml:space="preserve">Заповнення та армування стиків ГКЛ</t>
  </si>
  <si>
    <t xml:space="preserve">https://www.rabotniki.ua/uk/malyarnye-raboty · Закладення швів ГК 60/102/150; армування стрічкою 70/107/150 · Україна · 2026
https://www.rabotniki.ua/uk/malyarnye-raboty/kiev · 109 / 112 · Київ · 2026
https://bud.arsel.com.ua/tsiny-na-budivelni-roboty/ · армування стрічкою 85 · Київ · 2026-01
https://liv-comfort.kyiv.ua/price-remont/index.html · Заробка стиків + серпянка 100 · Київ · 2026
https://budver.com/masters/shtukaturno-malyarni-roboti · від 66 · Київ та інші · 2026</t>
  </si>
  <si>
    <t xml:space="preserve">Монтаж арки з гіпсокартону</t>
  </si>
  <si>
    <t xml:space="preserve">https://www.rabotniki.ua/uk/montazh-gipsokartona · Декор. елементи (ніші, арки) 850/1528/2100 грн/шт · Україна · 2026
https://www.rabotniki.ua/uk/montazh-gipsokartona/kiev · 1000/1349/2000 · Київ · 2026
https://www.rabotniki.ua/uk/montazh-gipsokartona/lvov · 850/1479/2100 · Львів · 2026
https://www.remonthub.org/prices.php · Улаштування арки від 1000 · Київ · 2026
https://budver.com/masters/gipsokartonni-roboti · від 935 · Київ та інші · 2026</t>
  </si>
  <si>
    <t xml:space="preserve">Монтаж вертикального короба з гіпсокартону на стояки</t>
  </si>
  <si>
    <t xml:space="preserve">Вище медіани (~500) на ~25%.</t>
  </si>
  <si>
    <t xml:space="preserve">https://www.rabotniki.ua/uk/montazh-gipsokartona · Обшивка труб ГКЛ 350/514/750 · Україна · 2026
https://www.rabotniki.ua/uk/montazh-gipsokartona/kiev · 300/525/800 · Київ · 2026
https://www.rabotniki.ua/uk/montazh-gipsokartona/lvov · 300/450/550 · Львів · 2026
https://bud.arsel.com.ua/tsiny-na-budivelni-roboty/ · 485 · Київ · 2026-01
https://www.remonthub.org/prices.php · Зашивка труб 300; Г-подібний 800 · Київ · 2026
https://budver.com/masters/gipsokartonni-roboti · від 396 · Київ та інші · 2026</t>
  </si>
  <si>
    <t xml:space="preserve">Монтаж гіпсокартону на стелю рівну</t>
  </si>
  <si>
    <t xml:space="preserve">https://www.rabotniki.ua/uk/montazh-gipsokartona · на стелю 300/521/700 · Україна · 2026
https://www.rabotniki.ua/uk/montazh-gipsokartona/kiev · 300/490/700 · Київ · 2026
https://www.rabotniki.ua/uk/montazh-gipsokartona/lvov · 400/538/750 · Львів · 2026
https://bud.arsel.com.ua/tsiny-na-budivelni-roboty/ · 435 · Київ · 2026-01
https://www.remonthub.org/prices.php · однорівнева 600 · Київ · 2026
https://kabanchik.ua/ua/kyiv/tag/montazh-konstruktsii-z-hipsokartonu · 480 · Київ · 2026-10
https://budver.com/masters/gipsokartonni-roboti · від 352 · Київ та інші · 2026</t>
  </si>
  <si>
    <t xml:space="preserve">Монтаж гіпсокартону на стіни</t>
  </si>
  <si>
    <t xml:space="preserve">https://www.rabotniki.ua/uk/montazh-gipsokartona · на стіну 250/417/650 · Україна · 2026
https://www.rabotniki.ua/uk/montazh-gipsokartona/kiev · 250/402/600 · Київ · 2026
https://www.rabotniki.ua/uk/montazh-gipsokartona/lvov · 300/390/450 · Львів · 2026
https://bud.arsel.com.ua/tsiny-na-budivelni-roboty/ · 355 · Київ · 2026-01
https://www.remonthub.org/prices.php · пристінна конструкція 450 · Київ · 2026
https://kabanchik.ua/ua/kyiv/tag/montazh-konstruktsii-z-hipsokartonu · 420 · Київ · 2026-10
https://budver.com/masters/gipsokartonni-roboti · від 275 · Київ та інші · 2026</t>
  </si>
  <si>
    <t xml:space="preserve">Монтаж короба (прямого) із гіпсокартону по периметру стелі</t>
  </si>
  <si>
    <t xml:space="preserve">https://www.rabotniki.ua/uk/montazh-gipsokartona · Короб по периметру 300/513/750 · Україна · 2026
https://www.rabotniki.ua/uk/montazh-gipsokartona/kiev · 400/545/800 · Київ · 2026
https://www.rabotniki.ua/uk/montazh-gipsokartona/lvov · 500/583/750 · Львів · 2026
https://kabanchik.ua/ua/kyiv/tag/montazh-konstruktsii-z-hipsokartonu · 410 · Київ · 2026-10
https://budver.com/masters/gipsokartonni-roboti · від 330 · Київ та інші · 2026</t>
  </si>
  <si>
    <t xml:space="preserve">Утеплення мінватою в один шар</t>
  </si>
  <si>
    <t xml:space="preserve">https://www.rabotniki.ua/uk/montazh-gipsokartona · Утеплення мінватою 130/216/300 · Україна · 2026
https://www.rabotniki.ua/uk/montazh-gipsokartona/kiev · 120/200/300 · Київ · 2026
https://bud.arsel.com.ua/tsiny-na-budivelni-roboty/ · 130 · Київ · 2026-01
https://budver.com/masters/gipsokartonni-roboti · від 143 · Київ та інші · 2026</t>
  </si>
  <si>
    <t xml:space="preserve">Грунтовка поверхонь бетоноконтактом</t>
  </si>
  <si>
    <t xml:space="preserve">https://www.rabotniki.ua/uk/shtukaturnye-raboty · Грунтовка бетоноконтактом 60/88/123 · Україна · 2026
https://www.rabotniki.ua/uk/shtukaturnye-raboty/kiev · 60/92/123 · Київ · 2026
https://www.rabotniki.ua/uk/shtukaturnye-raboty/lvov · 75/77/80 · Львів · 2026
https://bud.arsel.com.ua/tsiny-na-budivelni-roboty/ · 75 · Київ · 2026-01
https://liv-comfort.kyiv.ua/price-remont/index.html · 100 · Київ · 2026
https://budver.com/masters/shtukaturno-malyarni-roboti · від 66 · Київ та інші · 2026</t>
  </si>
  <si>
    <t xml:space="preserve">Грунтування</t>
  </si>
  <si>
    <t xml:space="preserve">На нижній межі; медіана ~40. Є ще 'Грунтування перед шпаклівкою' 50 і 'Грунтування основи перед штукатуркою' 35 — по суті одна робота за трьома цінами.</t>
  </si>
  <si>
    <t xml:space="preserve">https://www.rabotniki.ua/uk/malyarnye-raboty · Грунтовка стін, стелі (1 шар) 25/40/55 · Україна · 2026
https://www.rabotniki.ua/uk/malyarnye-raboty/kiev · 35/43/55 · Київ · 2026
https://bud.arsel.com.ua/tsiny-na-budivelni-roboty/ · 35 · Київ · 2026-01
https://www.remonthub.org/prices.php · 35 · Київ · 2026
https://kabanchik.ua/ua/kyiv/category/pokleika-shpaler · Грунтовка стін 39 / стелі 44 · Київ · 2026-10
https://budver.com/masters/shtukaturno-malyarni-roboti · від 27 · Київ та інші · 2026</t>
  </si>
  <si>
    <t xml:space="preserve">Нанесення декоративної штукатурки "ефект бетону", "арт бетон"</t>
  </si>
  <si>
    <t xml:space="preserve">Біля верхньої межі.</t>
  </si>
  <si>
    <t xml:space="preserve">https://www.rabotniki.ua/uk/dekorativnaya-otdelka-sten · Ефект бетону 400/593/790 · Україна · 2026
https://stroyremdizayn.kiev.ua/rascenki-na-otdelochnye-raboty.html · ефект бетону 550 · Київ · 2026</t>
  </si>
  <si>
    <t xml:space="preserve">Нанесення декоративної штукатурки "мармурова крихта"</t>
  </si>
  <si>
    <t xml:space="preserve">https://www.rabotniki.ua/uk/dekorativnaya-otdelka-sten · Мармурова крихта 400/512/700 · Україна · 2026
https://stroyremdizayn.kiev.ua/rascenki-na-otdelochnye-raboty.html · від 400 · Київ · 2026</t>
  </si>
  <si>
    <t xml:space="preserve">Нанесення декоративної штукатурки "травертин"</t>
  </si>
  <si>
    <t xml:space="preserve">Біля верхньої межі; медіана ~570.</t>
  </si>
  <si>
    <t xml:space="preserve">https://www.rabotniki.ua/uk/dekorativnaya-otdelka-sten · Травертин 400/591/790 · Україна · 2026
https://stroyremdizayn.kiev.ua/rascenki-na-otdelochnye-raboty.html · травертин 550 · Київ · 2026</t>
  </si>
  <si>
    <t xml:space="preserve">Поклейка склополотна</t>
  </si>
  <si>
    <t xml:space="preserve">Дубль у DRYWALL з тією ж ціною.</t>
  </si>
  <si>
    <t xml:space="preserve">https://www.rabotniki.ua/uk/malyarnye-raboty · Наклейка скловолокна 110/170/240 · Україна · 2026
https://www.rabotniki.ua/uk/malyarnye-raboty/kiev · 120/181/220 · Київ · 2026
https://bud.arsel.com.ua/tsiny-na-budivelni-roboty/ · Наклейка склополотна 130 · Київ · 2026-01
https://www.remonthub.org/prices.php · 190 · Київ · 2026
https://kabanchik.ua/ua/kyiv/category/pokleika-shpaler · на стелю 180 · Київ · 2026-10
https://budver.com/masters/shtukaturno-malyarni-roboti · від 121 · Київ та інші · 2026</t>
  </si>
  <si>
    <t xml:space="preserve">Поклейка склошпалер (структурних) під фарбування</t>
  </si>
  <si>
    <t xml:space="preserve">https://www.rabotniki.ua/uk/pokleyka-oboev · Скловолокнисті на стіни 140–250, сер. 196 · Україна · 2026
https://bud.arsel.com.ua/tsiny-na-budivelni-roboty/ · склошпалери на стіни 150 · Київ · 2026-01
https://vikna.tv/styl-zhyttya/skilky-koshtuye-pokleyity-kvadratnyj-metr-shpaler-u-2026-rotsi/ · ~187 · Україна · 2026-09-21</t>
  </si>
  <si>
    <t xml:space="preserve">Поклейка фотошпалер</t>
  </si>
  <si>
    <t xml:space="preserve">Вище медіани, але в межах. Можна ~400.</t>
  </si>
  <si>
    <t xml:space="preserve">https://www.rabotniki.ua/uk/pokleyka-oboev · Фотошпалери 230–650, сер. 399 · Україна · 2026
https://bud.arsel.com.ua/tsiny-na-budivelni-roboty/ · 305 · Київ · 2026-01
https://liv-comfort.kyiv.ua/price-remont/index.html · 250 · Київ · 2026
https://vikna.tv/styl-zhyttya/skilky-koshtuye-pokleyity-kvadratnyj-metr-shpaler-u-2026-rotsi/ · ~389 · Україна · 2026-09-21</t>
  </si>
  <si>
    <t xml:space="preserve">Фарбування безповітряним методом (airless)</t>
  </si>
  <si>
    <t xml:space="preserve">Нижче мінімуму Києва (195); для Києва краще ~210.</t>
  </si>
  <si>
    <t xml:space="preserve">https://www.rabotniki.ua/uk/malyarnye-raboty · Безповітряне фарбування 130/211/250 · Україна · 2026
https://www.rabotniki.ua/uk/malyarnye-raboty/kiev · 195/225/250 · Київ · 2026
https://www.rabotniki.ua/uk/malyarnye-raboty/lvov · 170/200/280 · Львів · 2026
https://budver.com/masters/shtukaturno-malyarni-roboti · від 143 · Київ та інші · 2026</t>
  </si>
  <si>
    <t xml:space="preserve">Фарбування стелі водоемульсійною фарбою</t>
  </si>
  <si>
    <t xml:space="preserve">https://www.rabotniki.ua/uk/malyarnye-raboty · 135/209/330 · Україна · 2026
https://www.rabotniki.ua/uk/malyarnye-raboty/kiev · 135/221/330 · Київ · 2026
https://www.rabotniki.ua/uk/malyarnye-raboty/lvov · 150/173/180 · Львів · 2026
https://bud.arsel.com.ua/tsiny-na-budivelni-roboty/ · 175 · Київ · 2026-01
https://kabanchik.ua/ua/kyiv/category/pokleika-shpaler · Фарбування стелі валиком 140 · Київ · 2026-10
https://budver.com/masters/shtukaturno-malyarni-roboti · від 148 · Київ та інші · 2026</t>
  </si>
  <si>
    <t xml:space="preserve">Фарбування стін водоемульсійною фарбою</t>
  </si>
  <si>
    <t xml:space="preserve">https://www.rabotniki.ua/uk/malyarnye-raboty · 120/191/300 · Україна · 2026
https://www.rabotniki.ua/uk/malyarnye-raboty/kiev · 120/202/300 · Київ · 2026
https://www.rabotniki.ua/uk/malyarnye-raboty/lvov · 120/148/180 · Львів · 2026
https://bud.arsel.com.ua/tsiny-na-budivelni-roboty/ · 150 · Київ · 2026-01
https://www.remonthub.org/prices.php · Водоемульсійне фарбування в два шари 220 · Київ · 2026
https://liv-comfort.kyiv.ua/price-remont/index.html · Фарба стіна, стеля 200 · Київ · 2026
https://kabanchik.ua/ua/kyiv/category/farbuvannia-stin · 180 (за 2 рази — 200) · Київ · 2026-10
https://budver.com/masters/shtukaturno-malyarni-roboti · від 132 · Київ та інші · 2026</t>
  </si>
  <si>
    <t xml:space="preserve">Фарбування укосів</t>
  </si>
  <si>
    <t xml:space="preserve">https://www.rabotniki.ua/uk/malyarnye-raboty · Фарбування відкосів 100/176/250 · Україна · 2026
https://www.rabotniki.ua/uk/malyarnye-raboty/kiev · сер. 180 · Київ · 2026
https://bud.arsel.com.ua/tsiny-na-budivelni-roboty/ · 175 · Київ · 2026-01
https://www.remonthub.org/prices.php · 200 · Київ · 2026
https://budver.com/masters/shtukaturno-malyarni-roboti · від 110 · Київ та інші · 2026</t>
  </si>
  <si>
    <t xml:space="preserve">Шліфування стін/стель (фінішне)</t>
  </si>
  <si>
    <t xml:space="preserve">https://www.rabotniki.ua/uk/malyarnye-raboty · Шліфування стін 70/106/150; стелі 80/128/180 · Україна · 2026
https://www.rabotniki.ua/uk/malyarnye-raboty/kiev · стін сер. 104, стелі сер. 128 · Київ · 2026
https://www.rabotniki.ua/uk/malyarnye-raboty/lvov · стін 100, стелі 133 · Львів · 2026</t>
  </si>
  <si>
    <t xml:space="preserve">Шпаклювання фінішне (2–4 рази)</t>
  </si>
  <si>
    <t xml:space="preserve">https://www.rabotniki.ua/uk/shtukaturnye-raboty/kiev · Машинне нанесення фінішної шпаклівки 250/317/400 · Київ · 2026
https://www.rabotniki.ua/uk/shtukaturnye-raboty · 180/279/400 · Україна · 2026
https://kabanchik.ua/ua/kyiv/category/shpaklivka-stin · Фінішна шпаклівка стін 170 · Київ · 2026-10
https://budver.com/masters/shtukaturno-malyarni-roboti · машинне фінішне від 209 · Київ та інші · 2026</t>
  </si>
  <si>
    <t xml:space="preserve">Шпаклівка коробів, укосів, ніш та виступів під фарбування</t>
  </si>
  <si>
    <t xml:space="preserve">https://www.rabotniki.ua/uk/malyarnye-raboty · Підготовка укосів під фарбування 250/390/600 · Україна · 2026
https://www.rabotniki.ua/uk/malyarnye-raboty/kiev · 260/409/600 · Київ · 2026
https://www.remonthub.org/prices.php · Шпаклювання відкосів 250 · Київ · 2026
https://budver.com/masters/shtukaturno-malyarni-roboti · від 275 · Київ та інші · 2026
https://creativebuild.com.ua/shpaklyuvannya-stin-tsina-lviv/ · 250–350 (Львів) · Львів · 2025-10</t>
  </si>
  <si>
    <t xml:space="preserve">Шпаклівка стелі під фарбування</t>
  </si>
  <si>
    <t xml:space="preserve">https://www.rabotniki.ua/uk/malyarnye-raboty/kiev · Підготовка бетонної стелі 400/530/700 · Київ · 2026
https://www.rabotniki.ua/uk/malyarnye-raboty/lvov · 350/417/450 · Львів · 2026
https://kabanchik.ua/ua/kyiv/category/shpaklivka-stel · Шпаклівка стелі під фарбування 350 · Київ · 2026-10
https://budver.com/masters/shtukaturno-malyarni-roboti · Шпаклювання стелі від 330 · Київ та інші · 2026
https://stroyremdizayn.kiev.ua/rascenki-na-otdelochnye-raboty.html · 400 · Київ · 2026</t>
  </si>
  <si>
    <t xml:space="preserve">Шпаклівка стін під склополотно шпалери</t>
  </si>
  <si>
    <t xml:space="preserve">Вище спеціалізованих цін 'під шпалери' (210–220), але з урахуванням склополотна прийнятно.</t>
  </si>
  <si>
    <t xml:space="preserve">https://kabanchik.ua/ua/kyiv/category/shpaklivka-stin · Шпаклівка стін під поклейку шпалер 210 · Київ · 2026-10
https://www.remonthub.org/prices.php · Шпаклювання стін під обої 220 · Київ · 2026
https://creativebuild.com.ua/shpaklyuvannya-stin-tsina-lviv/ · під шпалери 250–600 (Львів) · Львів · 2025-10
https://www.rabotniki.ua/uk/malyarnye-raboty · Підготовка бетонної стіни під фарбування або шпалери 300/461/700 · Україна · 2026</t>
  </si>
  <si>
    <t xml:space="preserve">Шпаклівка стін під фарбування</t>
  </si>
  <si>
    <t xml:space="preserve">https://www.rabotniki.ua/uk/malyarnye-raboty/kiev · Підготовка бетонної стіни під фарбування або шпалери 370/493/700 · Київ · 2026
https://www.rabotniki.ua/uk/malyarnye-raboty/lvov · 350/383/400 · Львів · 2026
https://www.remonthub.org/prices.php · Шпаклювання стін під фарбування 330 · Київ · 2026
https://kabanchik.ua/ua/kyiv/category/shpaklivka-stin · Шпаклівка стін під фарбування 320 (Вартість послуг) · Київ · 2026-10
https://budver.com/masters/shtukaturno-malyarni-roboti · від 275 · Київ та інші · 2026
https://creativebuild.com.ua/shpaklyuvannya-stin-tsina-lviv/ · Львів 300–600 · Львів · 2025-10</t>
  </si>
  <si>
    <t xml:space="preserve">Штукатурка стін ручна від 2см</t>
  </si>
  <si>
    <t xml:space="preserve">У межах, нижче середнього Києва (507). Можна підняти до ~420.</t>
  </si>
  <si>
    <t xml:space="preserve">https://www.rabotniki.ua/uk/shtukaturnye-raboty/kiev · Ручна маякова штукатурка (більше 2 см) 400/507/650 · Київ · 2026
https://www.rabotniki.ua/uk/shtukaturnye-raboty/lvov · 350/400/450 · Львів · 2026
https://www.rabotniki.ua/uk/shtukaturnye-raboty · 240/431/650 · Україна · 2026
https://stroyremdizayn.kiev.ua/rascenki-na-otdelochnye-raboty.html · ручна (від 2 см) 370 · Київ · 2026</t>
  </si>
  <si>
    <t xml:space="preserve">Штукатурка стін ручна до 2см</t>
  </si>
  <si>
    <t xml:space="preserve">У межах; для Києва на нижній межі (Київ сер. 446).</t>
  </si>
  <si>
    <t xml:space="preserve">https://www.rabotniki.ua/uk/shtukaturnye-raboty/kiev · Ручна маякова штукатурка (до 2 см) 350/446/560 грн/м² · Київ · 2026
https://www.rabotniki.ua/uk/shtukaturnye-raboty/lvov · 350/363/400 грн/м² · Львів · 2026
https://www.rabotniki.ua/uk/shtukaturnye-raboty · 250/380/560 грн/м² · Україна · 2026
https://bud.arsel.com.ua/tsiny-na-budivelni-roboty/ · Стартова штукатурка 350 грн/м² · Київ · 2026-01
https://www.remonthub.org/prices.php · Штукатурка стін і стелі гіпсова 330 грн/м² · Київ · 2026
https://liv-comfort.kyiv.ua/price-remont/index.html · Штукатурка стіни п/маякам 380 грн/м² · Київ · 2026
https://budver.com/masters/shtukaturno-malyarni-roboti · Ручна маячна штукатурка від 275 грн/м² · Київ та інші · 2026</t>
  </si>
  <si>
    <t xml:space="preserve">Штукатурка стін ручна понад 5 см (у кілька шарів, по сітці)</t>
  </si>
  <si>
    <t xml:space="preserve">Збігається з прямим аналогом liv-comfort.</t>
  </si>
  <si>
    <t xml:space="preserve">https://liv-comfort.kyiv.ua/price-remont/index.html · Штукатурка стін понад 5 см 450 грн/м² · Київ · 2026
https://www.rabotniki.ua/uk/shtukaturnye-raboty/kiev · Ручна &gt;2 см макс 650 · Київ · 2026
https://www.rabotniki.ua/uk/shtukaturnye-raboty · Ручна штукатурка кривих поверхонь 250/416/650 · Україна · 2026</t>
  </si>
  <si>
    <t xml:space="preserve">Штукатурка укосів</t>
  </si>
  <si>
    <t xml:space="preserve">https://www.rabotniki.ua/uk/shtukaturnye-raboty · Ручна штукатурка укосів 230/366/550 грн/м.п. · Україна · 2026
https://www.rabotniki.ua/uk/shtukaturnye-raboty/kiev · 350/423/550 · Київ · 2026
https://www.rabotniki.ua/uk/shtukaturnye-raboty/lvov · 330/343/350 · Львів · 2026
https://bud.arsel.com.ua/tsiny-na-budivelni-roboty/ · 315 грн/м.п. · Київ · 2026-01
https://www.remonthub.org/prices.php · Штукатурка відкосів цем.-вапн. 350 · Київ · 2026
https://budver.com/masters/shtukaturno-malyarni-roboti · від 253 · Київ та інші · 2026</t>
  </si>
  <si>
    <t xml:space="preserve">Монтаж та підключення ДБЖ</t>
  </si>
  <si>
    <t xml:space="preserve">точка</t>
  </si>
  <si>
    <t xml:space="preserve">Наші 8000 біля нижньої межі. Одиниця «точка» запозичена з rabotniki, але логічніше «шт».</t>
  </si>
  <si>
    <t xml:space="preserve">https://www.rabotniki.ua/uk/elektromontazhnye-raboty/kiev · монтаж і підключення ДБЖ: 9000/13043/16570 грн/точка · Київ · 2026 (перевірено 25.10.2026)
https://www.rabotniki.ua/uk/elektromontazhnye-raboty/lvov · 8000/12195/16570 грн/точка · Львів · 2026 (перевірено 25.10.2026)
https://altek.kiev.ua/uk/cini-na-elektromontazh-kyiv/ · інвертор із батареями до щита від 8000; зарядна станція від 5000 · Київ · 2026
https://san-sanych.ua/czini-na-poslugi/posluga-elektruk.html · ручне підключення EcoFlow/Bluetti 6300; з АВР 9200 · Київ · 2026 (відгуки до 09.2026)</t>
  </si>
  <si>
    <t xml:space="preserve">Монтаж та установка домофона</t>
  </si>
  <si>
    <t xml:space="preserve">Наші 800 дорівнюють мінімуму rabotniki.</t>
  </si>
  <si>
    <t xml:space="preserve">https://www.rabotniki.ua/uk/elektromontazhnye-raboty/kiev · домофон: 800/1094/1650 · Київ · 2026 (перевірено 25.10.2026)
https://www.rabotniki.ua/uk/elektromontazhnye-raboty/lvov · 750/1136/2000 · Львів · 2026 (перевірено 25.10.2026)
https://kabanchik.ua/ua/kyiv/category/elektryk · домофон без панелі від 1000 · Київ · 10.2026
https://remmo.lviv.ua/elektromontazhni-roboty-lviv/ · 900 · Львів · 06.2026
https://san-sanych.ua/czini-na-poslugi/posluga-elektruk.html · 600 · Київ · 2026 (відгуки до 09.2026)</t>
  </si>
  <si>
    <t xml:space="preserve">Монтаж шинопровода трекової системи</t>
  </si>
  <si>
    <t xml:space="preserve">Обидва джерела дають 500+. Наші 147 (нецілі, схоже на перерахунок) втричі нижчі.</t>
  </si>
  <si>
    <t xml:space="preserve">https://amperage.com.ua/price/ · монтаж рейки під трек від 500 грн/м.п. · Львів · 2026 (стор. змінено 05.2026)
https://rbk-alba.com/ua/price · прокладання шинопроводу під трек 550 грн/м.п. · Київ · 19.10.2026</t>
  </si>
  <si>
    <t xml:space="preserve">Підключення бойлера (водонагрівача)</t>
  </si>
  <si>
    <t xml:space="preserve">Два незалежні джерела починаються від 1000+. Але бойлер часто ставить сантехнік, тож ціна може включати навішування. Якщо в нас лише електрична частина, можна 800–1000.</t>
  </si>
  <si>
    <t xml:space="preserve">https://altek.kiev.ua/uk/cini-na-elektromontazh-kyiv/ · підключення бойлера, водонагрівача до електромережі від 1000 · Київ · 2026
https://budver.com/masters/elektromontazhni-roboti · підключення електричного водонагрівача від 1320 · Україна · 2026</t>
  </si>
  <si>
    <t xml:space="preserve">Підключення електричного рушникосушника</t>
  </si>
  <si>
    <t xml:space="preserve">Наші 500 дорівнюють мінімуму.</t>
  </si>
  <si>
    <t xml:space="preserve">https://www.rabotniki.ua/uk/elektromontazhnye-raboty/kiev · монтаж і підключення електричного рушникосушника: 500/719/1000 · Київ · 2026 (перевірено 25.10.2026)
https://www.rabotniki.ua/uk/elektromontazhnye-raboty/lvov · 500/751/1200 · Львів · 2026 (перевірено 25.10.2026)
https://bud.arsel.com.ua/tsiny-na-budivelni-roboty/ · 700 · Київ · 2026-01
https://budver.com/masters/elektromontazhni-roboti · від 550 · Україна · 2026</t>
  </si>
  <si>
    <t xml:space="preserve">Свердління під точковий світильник в гіпсокартоні</t>
  </si>
  <si>
    <t xml:space="preserve">Усі джерела, що рахують отвір окремо, дають 120–250. Багато майстрів включають отвір у ціну монтажу світильника, тому піднімаємо стримано.</t>
  </si>
  <si>
    <t xml:space="preserve">https://amperage.com.ua/price/ · вирізання отвору в ГКЛ до 10 см 220; понад 10 см 250 · Львів · 2026 (стор. змінено 05.2026)
https://rbk-alba.com/ua/price · отвір під точковий до 100 мм у ГК 200 · Київ · 19.10.2026
https://remmo.lviv.ua/elektromontazhni-roboty-lviv/ · отвори в стелі під світильники (ГКЛ) 120 · Львів · 06.2026
https://san-sanych.ua/czini-na-poslugi/posluga-elektruk.html · свердління отворів під точковий у ГКЛ/рейкову стелю 250 · Київ · 2026 (відгуки до 09.2026)</t>
  </si>
  <si>
    <t xml:space="preserve">Установка блока живлення світлодіодної стрічки</t>
  </si>
  <si>
    <t xml:space="preserve">Наші 150 дорівнюють мінімуму ринку.</t>
  </si>
  <si>
    <t xml:space="preserve">https://amperage.com.ua/price/ · підключення блока живлення стрічки від 350 · Львів · 2026 (стор. змінено 05.2026)
https://san-sanych.ua/czini-na-poslugi/posluga-elektruk.html · встановлення БЖ і підключення стрічки 550 · Київ · 2026 (відгуки до 09.2026)
https://www.rabotniki.ua/uk/elektromontazhnye-raboty/kiev · установка й підключення трансформатора: 150/250/410 · Київ · 2026 (перевірено 25.10.2026)
https://bud.arsel.com.ua/tsiny-na-budivelni-roboty/ · трансформатор 245 · Київ · 2026-01
https://rbk-alba.com/ua/price · знижувальний трансформатор 700 · Київ · 19.10.2026</t>
  </si>
  <si>
    <t xml:space="preserve">Установка кнопки дверного дзвінка</t>
  </si>
  <si>
    <t xml:space="preserve">Наші 120 близькі до мінімуму.</t>
  </si>
  <si>
    <t xml:space="preserve">https://www.rabotniki.ua/uk/elektromontazhnye-raboty/kiev · монтаж кнопки дзвінка: 110/178/250 · Київ · 2026 (перевірено 25.10.2026)
https://www.rabotniki.ua/uk/elektromontazhnye-raboty/lvov · 130/187/250 · Львів · 2026 (перевірено 25.10.2026)</t>
  </si>
  <si>
    <t xml:space="preserve">Установка ландшафтних світильників</t>
  </si>
  <si>
    <t xml:space="preserve">Наші 240 нижчі за мінімум для «в ґрунт».</t>
  </si>
  <si>
    <t xml:space="preserve">https://www.rabotniki.ua/uk/elektromontazhnye-raboty/kiev · ландшафтні в ґрунт: 250/382/530; ґрунтові без бетонної основи 200/308/400 · Київ · 2026 (перевірено 25.10.2026)
https://www.rabotniki.ua/uk/elektromontazhnye-raboty/lvov · 250/397/550; 200/298/400 · Львів · 2026 (перевірено 25.10.2026)
https://budver.com/masters/elektromontazhni-roboti · вуличні світильники від 275 · Україна · 2026</t>
  </si>
  <si>
    <t xml:space="preserve">Установка стабілізатора напруги</t>
  </si>
  <si>
    <t xml:space="preserve">Медіана ~1400.</t>
  </si>
  <si>
    <t xml:space="preserve">https://www.rabotniki.ua/uk/elektromontazhnye-raboty/kiev · монтаж і підключення стабілізатора: 900/1453/1900 · Київ · 2026 (перевірено 25.10.2026)
https://www.rabotniki.ua/uk/elektromontazhnye-raboty/lvov · 900/1582/2500 · Львів · 2026 (перевірено 25.10.2026)
https://bud.arsel.com.ua/tsiny-na-budivelni-roboty/ · 1305 · Київ · 2026-01
https://rbk-alba.com/ua/price · 1600 · Київ · 19.10.2026
https://kabanchik.ua/ua/kyiv/category/elektryk · однофазний 5–10 кВт від 1200; «Вартість послуг»: підключення 1010 · Київ · 10.2026
https://remmo.lviv.ua/elektromontazhni-roboty-lviv/ · від 1500 · Львів · 06.2026
https://san-sanych.ua/czini-na-poslugi/posluga-elektruk.html · 1350 (на 1–2 прилади); 5500 у щиті · Київ · 2026 (відгуки до 09.2026)</t>
  </si>
  <si>
    <t xml:space="preserve">Установка та підключення однофазного лічильника електроенергії</t>
  </si>
  <si>
    <t xml:space="preserve">Медіана ~700.</t>
  </si>
  <si>
    <t xml:space="preserve">https://www.rabotniki.ua/uk/elektromontazhnye-raboty/kiev · підключення електролічильника: 400/655/920 · Київ · 2026 (перевірено 25.10.2026)
https://www.rabotniki.ua/uk/elektromontazhnye-raboty/lvov · 600/750/1000 · Львів · 2026 (перевірено 25.10.2026)
https://bud.arsel.com.ua/tsiny-na-budivelni-roboty/ · 610 · Київ · 2026-01
https://kabanchik.ua/ua/kyiv/category/elektryk · однофазний однотарифний від 1200 · Київ · 10.2026
https://rbk-alba.com/ua/price · 1000 · Київ · 19.10.2026
https://amperage.com.ua/price/ · від 700 · Львів · 2026 (стор. змінено 05.2026)
https://altek.kiev.ua/uk/cini-na-elektromontazh-kyiv/ · 700 · Київ · 2026
https://remmo.lviv.ua/elektromontazhni-roboty-lviv/ · 1200 · Львів · 06.2026
https://san-sanych.ua/czini-na-poslugi/posluga-elektruk.html · 650 · Київ · 2026 (відгуки до 09.2026)</t>
  </si>
  <si>
    <t xml:space="preserve">Установка та підключення трифазного лічильника електроенергії</t>
  </si>
  <si>
    <t xml:space="preserve">Три з п’яти джерел дають 1600–2200.</t>
  </si>
  <si>
    <t xml:space="preserve">https://rbk-alba.com/ua/price · трифазний 1600 · Київ · 19.10.2026
https://amperage.com.ua/price/ · від 2000 · Львів · 2026 (стор. змінено 05.2026)
https://kabanchik.ua/ua/kyiv/category/elektryk · трифазний прямого ввімкнення від 2200 · Київ · 10.2026
https://remmo.lviv.ua/elektromontazhni-roboty-lviv/ · 1200 (одно- або трифазний) · Львів · 06.2026
https://san-sanych.ua/czini-na-poslugi/posluga-elektruk.html · 650 · Київ · 2026 (відгуки до 09.2026)</t>
  </si>
  <si>
    <t xml:space="preserve">Штроблення під електрокабель 20х20 в газоблоці</t>
  </si>
  <si>
    <t xml:space="preserve">Наші 50 у 2+ рази нижчі за всі джерела і в 2,6 раза нижчі за нашу ж цеглу (130). Газоблок дешевший за цеглу, але не в 2,6 раза.</t>
  </si>
  <si>
    <t xml:space="preserve">https://remmo.lviv.ua/elektromontazhni-roboty-lviv/ · штукатурка/газоблок 20х20: 105 грн/м.п. · Львів · 06.2026
https://rbk-alba.com/ua/price · штроби в газоблоці 30х25: 150 грн/м.п. · Київ · 19.10.2026
https://san-sanych.ua/czini-na-poslugi/posluga-elektruk.html · штроблення під провід у газоблоці/цеглі: 450 грн/м (дорогий прайс, викид) · Київ · 2026 (відгуки до 09.2026)</t>
  </si>
  <si>
    <t xml:space="preserve">Закладення штроб гіпсовою сумішшю</t>
  </si>
  <si>
    <t xml:space="preserve">Наші 88 вищі за максимум усіх джерел.</t>
  </si>
  <si>
    <t xml:space="preserve">https://www.rabotniki.ua/uk/elektromontazhnye-raboty/kiev · закладення штроби 40/56/80 · Київ · 2026 (перевірено 25.10.2026)
https://www.rabotniki.ua/uk/elektromontazhnye-raboty/lvov · закладення штроби 60/67/80 · Львів · 2026 (перевірено 25.10.2026)
https://bud.arsel.com.ua/tsiny-na-budivelni-roboty/ · закладення штроби 70 · Київ · 2026-01
https://budver.com/masters/elektromontazhni-roboti · закладення штроб від 44 грн/м.п. · Україна · 2026</t>
  </si>
  <si>
    <t xml:space="preserve">Монтаж кабель каналу</t>
  </si>
  <si>
    <t xml:space="preserve">Наші 400 у ~5 разів вищі за медіану. Схоже на помилку (порівняйте з лотком за 200).</t>
  </si>
  <si>
    <t xml:space="preserve">https://www.rabotniki.ua/uk/elektromontazhnye-raboty/kiev · монтаж пластикового короба: 40/69/100 · Київ · 2026 (перевірено 25.10.2026)
https://www.rabotniki.ua/uk/elektromontazhnye-raboty/lvov · 40/63/100 · Львів · 2026 (перевірено 25.10.2026)
https://bud.arsel.com.ua/tsiny-na-budivelni-roboty/ · 70 · Київ · 2026-01
https://budver.com/masters/elektromontazhni-roboti · від 44 · Україна · 2026
https://altek.kiev.ua/uk/cini-na-elektromontazh-kyiv/ · проводка в коробі від 150 · Київ · 2026
https://san-sanych.ua/czini-na-poslugi/posluga-elektruk.html · пластиковий кабель-канал 250 · Київ · 2026 (відгуки до 09.2026)
https://amperage.com.ua/price/ · влаштування короб-каналу від 500 (викид) · Львів · 2026 (стор. змінено 05.2026)</t>
  </si>
  <si>
    <t xml:space="preserve">Монтаж світлодіодної стрічки в профілі</t>
  </si>
  <si>
    <t xml:space="preserve">Медіана ~255. Ціна з профілем окремо (Ampérage, РБК) дає 350–500, тож 300 буде компромісом.</t>
  </si>
  <si>
    <t xml:space="preserve">https://www.rabotniki.ua/uk/elektromontazhnye-raboty/kiev · LED-стрічка в коробі: 170/238/310 · Київ · 2026 (перевірено 25.10.2026)
https://www.rabotniki.ua/uk/elektromontazhnye-raboty/lvov · 170/254/400 · Львів · 2026 (перевірено 25.10.2026)
https://bud.arsel.com.ua/tsiny-na-budivelni-roboty/ · стрічка LED у коробі 220 · Київ · 2026-01
https://kabanchik.ua/ua/kyiv/category/elektryk · «Вартість послуг»: монтаж світлодіодної стрічки 390 · Київ · 10.2026
https://liv-comfort.kyiv.ua/price-remont/index.html · стрічка + профіль 250 грн/м.п. · Київ · 2026
https://amperage.com.ua/price/ · профіль від 200 + наклеювання стрічки від 150 · Львів · 2026 (стор. змінено 05.2026)
https://rbk-alba.com/ua/price · LED-стрічка 300 + короб під LED 200 · Київ · 19.10.2026
https://san-sanych.ua/czini-na-poslugi/posluga-elektruk.html · стрічка в коробі/профілі 600 · Київ · 2026 (відгуки до 09.2026)</t>
  </si>
  <si>
    <t xml:space="preserve">Отвір для розподільчої коробки в цеглі</t>
  </si>
  <si>
    <t xml:space="preserve">Ринкова ціна ~190 включає й установку коробки, а в нас отвір 200 + «монтаж розподільчої коробки в стіну» 120 = 320, тобто +70% до медіани. Отвір у цеглі не повинен коштувати стільки ж, скільки в бетоні; про ГКЛ див. аномалії.</t>
  </si>
  <si>
    <t xml:space="preserve">https://www.rabotniki.ua/uk/elektromontazhnye-raboty/kiev · вирізка отвору й установка розпаювальної коробки (цегла): 120/187/250 · Київ · 2026 (перевірено 25.10.2026)
https://www.rabotniki.ua/uk/elektromontazhnye-raboty/lvov · 130/190/280 · Львів · 2026 (перевірено 25.10.2026)
https://bud.arsel.com.ua/tsiny-na-budivelni-roboty/ · 160 · Київ · 2026-01
https://kabanchik.ua/ua/kyiv/category/inshi-posluhy-elektryka · «Вартість послуг»: 300 · Київ · 10.2026
https://altek.kiev.ua/uk/cini-na-elektromontazh-kyiv/ · отвір + монтаж + комутація (цегла) 260 · Київ · 2026</t>
  </si>
  <si>
    <t xml:space="preserve">Прокладка кабелю</t>
  </si>
  <si>
    <t xml:space="preserve">Наші 210 у 4 рази вищі за ринок і в 3 рази вищі за наш же «кабель у гофрі» (65). Схоже на помилку.</t>
  </si>
  <si>
    <t xml:space="preserve">https://www.rabotniki.ua/uk/elektromontazhnye-raboty/kiev · підведення дроту, відкрита проводка: 25/46/66 · Київ · 2026 (перевірено 25.10.2026)
https://www.rabotniki.ua/uk/elektromontazhnye-raboty/lvov · відкрита проводка 40/50/60 · Львів · 2026 (перевірено 25.10.2026)
https://bud.arsel.com.ua/tsiny-na-budivelni-roboty/ · монтаж електропроводки 45 · Київ · 2026-01
https://rbk-alba.com/ua/price · прокладання проводів у штробі 50; до 3х2,5 — 80 · Київ · 19.10.2026
https://amperage.com.ua/price/ · прокладання кабелю до 2,5 мм² від 43 · Львів · 2026 (стор. змінено 05.2026)
https://kabanchik.ua/ua/kyiv/category/elektryk · укладання проводу в готовий канал від 35; відкрита на скобах 40–70 · Київ · 10.2026</t>
  </si>
  <si>
    <t xml:space="preserve">Складання люстри простої</t>
  </si>
  <si>
    <t xml:space="preserve">Наші 800 дорівнюють ціні збірки кришталевої люстри. Для «простої» це забагато.</t>
  </si>
  <si>
    <t xml:space="preserve">https://kabanchik.ua/ua/kyiv/category/elektryk · збірка нескладної люстри від 250; збірка кришталевої від 800 · Київ · 10.2026
https://san-sanych.ua/czini-na-poslugi/posluga-elektruk.html · збірка люстр, світильників, бра 550 · Київ · 2026 (відгуки до 09.2026)
https://rbk-alba.com/ua/price · складання світильників 500 · Київ · 19.10.2026</t>
  </si>
  <si>
    <t xml:space="preserve">Установка ПЗВ двополюсний</t>
  </si>
  <si>
    <t xml:space="preserve">Медіана ~375. Наші 500 дорівнюють максимуму rabotniki.</t>
  </si>
  <si>
    <t xml:space="preserve">https://www.rabotniki.ua/uk/elektromontazhnye-raboty/kiev · установка силових вимикачів, УЗО: 250/375/500 · Київ · 2026 (перевірено 25.10.2026)
https://www.rabotniki.ua/uk/elektromontazhnye-raboty/lvov · 260/335/450 · Львів · 2026 (перевірено 25.10.2026)
https://bud.arsel.com.ua/tsiny-na-budivelni-roboty/ · ПЗВ 355 · Київ · 2026-01
https://kabanchik.ua/ua/kyiv/category/elektryk · ПЗВ із підключенням від 450 · Київ · 10.2026
https://amperage.com.ua/price/ · ПЗВ 2-полюсний 500 · Львів · 2026 (стор. змінено 05.2026)
https://remmo.lviv.ua/elektromontazhni-roboty-lviv/ · ПЗВ/дифзахист 350 · Львів · 06.2026
https://san-sanych.ua/czini-na-poslugi/posluga-elektruk.html · ПЗВ 550 · Київ · 2026 (відгуки до 09.2026)</t>
  </si>
  <si>
    <t xml:space="preserve">Установка автомата диференційного</t>
  </si>
  <si>
    <t xml:space="preserve">Ту саму ціну, що й двополюсне ПЗВ, варто знизити до ~400.</t>
  </si>
  <si>
    <t xml:space="preserve">https://kabanchik.ua/ua/kyiv/category/elektryk · встановлення диференційного автомата від 500 · Київ · 10.2026
https://www.rabotniki.ua/uk/elektromontazhnye-raboty/kiev · УЗО: 250/375/500 · Київ · 2026 (перевірено 25.10.2026)
https://budver.com/masters/elektromontazhni-roboti · встановлення ПЗВ та дифавтомата від 275 · Україна · 2026
https://remmo.lviv.ua/elektromontazhni-roboty-lviv/ · ПЗВ/диф. захист 2/4-полюсний 350 · Львів · 06.2026
https://altek.kiev.ua/uk/cini-na-elektromontazh-kyiv/ · автомат/УЗО/дифавтомат від 300 · Київ · 2026</t>
  </si>
  <si>
    <t xml:space="preserve">Установка датчика руху або освітленості з підключенням</t>
  </si>
  <si>
    <t xml:space="preserve">Наші 500 вищі за всі незалежні джерела (500 дає лише stroyremdizayn).</t>
  </si>
  <si>
    <t xml:space="preserve">https://www.rabotniki.ua/uk/elektromontazhnye-raboty/kiev · установка датчиків, слаботочка: 140/239/300 · Київ · 2026 (перевірено 25.10.2026)
https://bud.arsel.com.ua/tsiny-na-budivelni-roboty/ · 220 · Київ · 2026-01
https://rbk-alba.com/ua/price · датчик руху 360 · Київ · 19.10.2026
https://remmo.lviv.ua/elektromontazhni-roboty-lviv/ · датчик руху/світла 400 (у другому списку 350) · Львів · 06.2026
https://altek.kiev.ua/uk/cini-na-elektromontazh-kyiv/ · від 400 · Київ · 2026</t>
  </si>
  <si>
    <t xml:space="preserve">Установка та підключення дверного дзвінка дротового</t>
  </si>
  <si>
    <t xml:space="preserve">Медіана ~330–400.</t>
  </si>
  <si>
    <t xml:space="preserve">https://www.rabotniki.ua/uk/elektromontazhnye-raboty/kiev · встановлення й підключення вхідного дзвінка: 185/252/370 · Київ · 2026 (перевірено 25.10.2026)
https://www.rabotniki.ua/uk/elektromontazhnye-raboty/lvov · 185/273/450 · Львів · 2026 (перевірено 25.10.2026)
https://kabanchik.ua/ua/kyiv/category/elektryk · дверний дзвінок від 400; на відстані від входу від 600 · Київ · 10.2026
https://rbk-alba.com/ua/price · дзвінок і кнопка 650 · Київ · 19.10.2026
https://san-sanych.ua/czini-na-poslugi/posluga-elektruk.html · 550 · Київ · 2026 (відгуки до 09.2026)</t>
  </si>
  <si>
    <t xml:space="preserve">Установка та підключення електроплити, варочної поверхні</t>
  </si>
  <si>
    <t xml:space="preserve">Наші 1500 удвічі вищі за ціни на підключення (500–800). Якщо позиція включає вбудовування в стільницю/меблі, поясніть це в описі; інакше ~900.</t>
  </si>
  <si>
    <t xml:space="preserve">https://altek.kiev.ua/uk/cini-na-elektromontazh-kyiv/ · підключення електроплити, варильної поверхні, духової шафи 500 · Київ · 2026
https://san-sanych.ua/czini-na-poslugi/posluga-elektruk.html · підключення варильної поверхні, плити або духовки 650 · Київ · 2026 (відгуки до 09.2026)
https://remmo.lviv.ua/elektromontazhni-roboty-lviv/ · підключення електроплити/витяжки/духовки від 800 · Львів · 06.2026
https://kabanchik.ua/ua/kyiv/category/elektryk · монтаж розетки для електричної плити від 400 · Київ · 10.2026
https://kabanchik.ua/ua/kyiv/category/ustanovka-dukhovoi-shafy · встановлення електричної духової шафи: від 350, «Вартість послуг» 2000; підключення (кабель до 5 м, розетка, автомат) від 450 · Київ · 10.2026</t>
  </si>
  <si>
    <t xml:space="preserve">Установка та підключення настінного світильника, бра</t>
  </si>
  <si>
    <t xml:space="preserve">Медіана ~350–400.</t>
  </si>
  <si>
    <t xml:space="preserve">https://www.rabotniki.ua/uk/elektromontazhnye-raboty/kiev · світильник настінний, бра: 200/342/500 · Київ · 2026 (перевірено 25.10.2026)
https://www.rabotniki.ua/uk/elektromontazhnye-raboty/lvov · 350/400/500 · Львів · 2026 (перевірено 25.10.2026)
https://bud.arsel.com.ua/tsiny-na-budivelni-roboty/ · 325 · Київ · 2026-01
https://kabanchik.ua/ua/kyiv/category/elektryk · настінні світильники з підключенням від 250 · Київ · 10.2026
https://rbk-alba.com/ua/price · бра 350 · Київ · 19.10.2026
https://altek.kiev.ua/uk/cini-na-elektromontazh-kyiv/ · збірка й навішування бра 400 · Київ · 2026
https://amperage.com.ua/price/ · бра від 350 · Львів · 2026 (стор. змінено 05.2026)
https://san-sanych.ua/czini-na-poslugi/posluga-elektruk.html · бра 550 · Київ · 2026 (відгуки до 09.2026)</t>
  </si>
  <si>
    <t xml:space="preserve">Установка та підключення прохідних, перехресних вимикачів</t>
  </si>
  <si>
    <t xml:space="preserve">Наші 320 вищі за максимум незалежних джерел.</t>
  </si>
  <si>
    <t xml:space="preserve">https://kabanchik.ua/ua/kyiv/category/elektryk · «Вартість послуг»: установка прохідного вимикача 190 грн/шт · Київ · 10.2026
https://amperage.com.ua/price/ · прохідний (перехресний) вимикач 300 · Львів · 2026 (стор. змінено 05.2026)
https://remmo.lviv.ua/elektromontazhni-roboty-lviv/ · прохідний 140; перехресний/діммер 200 · Львів · 06.2026
https://stroyremdizayn.kiev.ua/rascenki-na-otdelochnye-raboty.html · прохідні та перехресні 300 (ймовірно, наше джерело) · Київ · 2026</t>
  </si>
  <si>
    <t xml:space="preserve">Установка та підключення підвісного світильника, люстри простої</t>
  </si>
  <si>
    <t xml:space="preserve">Наші 750 вищі за середню по Києву і Львову (~570). Збірка в нас іде окремою позицією, тож 600 достатньо.</t>
  </si>
  <si>
    <t xml:space="preserve">https://www.rabotniki.ua/uk/elektromontazhnye-raboty/kiev · установка люстри: 350/568/800 · Київ · 2026 (перевірено 25.10.2026)
https://www.rabotniki.ua/uk/elektromontazhnye-raboty/lvov · 350/567/1000 · Львів · 2026 (перевірено 25.10.2026)
https://bud.arsel.com.ua/tsiny-na-budivelni-roboty/ · 520 · Київ · 2026-01
https://kabanchik.ua/ua/kyiv/category/elektryk · навішування люстри на гак з підключенням від 300; із встановленням гака від 450 · Київ · 10.2026
https://rbk-alba.com/ua/price · люстра маленька 550; велика 1000 · Київ · 19.10.2026
https://altek.kiev.ua/uk/cini-na-elektromontazh-kyiv/ · збірка й навішування люстри від 600 · Київ · 2026
https://san-sanych.ua/czini-na-poslugi/posluga-elektruk.html · навішування й підключення люстри 650; із гаком 900 · Київ · 2026 (відгуки до 09.2026)
https://amperage.com.ua/price/ · люстра від 400 · Львів · 2026 (стор. змінено 05.2026)</t>
  </si>
  <si>
    <t xml:space="preserve">Установка та підключення світлодіодного світильника</t>
  </si>
  <si>
    <t xml:space="preserve">Наші 450 приблизно в 1,9 раза вищі за медіану і вищі за максимум.</t>
  </si>
  <si>
    <t xml:space="preserve">https://www.rabotniki.ua/uk/elektromontazhnye-raboty/kiev · установка світлодіодних світильників: 150/232/310 · Київ · 2026 (перевірено 25.10.2026)
https://www.rabotniki.ua/uk/elektromontazhnye-raboty/lvov · 150/226/310 · Львів · 2026 (перевірено 25.10.2026)
https://bud.arsel.com.ua/tsiny-na-budivelni-roboty/ · 260 · Київ · 2026-01
https://rbk-alba.com/ua/price · накладний світильник 250 · Київ · 19.10.2026</t>
  </si>
  <si>
    <t xml:space="preserve">Установка та підключення терморегулятора теплої підлоги</t>
  </si>
  <si>
    <t xml:space="preserve">Чотири з п’яти джерел дають 400.</t>
  </si>
  <si>
    <t xml:space="preserve">https://rbk-alba.com/ua/price · терморегулятор на теплу підлогу 700 · Київ · 19.10.2026
https://amperage.com.ua/price/ · встановлення терморегулятора 400 · Львів · 2026 (стор. змінено 05.2026)
https://altek.kiev.ua/uk/cini-na-elektromontazh-kyiv/ · датчик руху/регулятор теплої підлоги від 400 · Київ · 2026
https://san-sanych.ua/czini-na-poslugi/posluga-elektruk.html · терморегулятор 400 · Київ · 2026 (відгуки до 09.2026)
https://remmo.lviv.ua/elektromontazhni-roboty-lviv/ · датчик теплої підлоги 400 · Львів · 06.2026</t>
  </si>
  <si>
    <t xml:space="preserve">Штроблення під електрокабель 20х20 мм (в бетоні)</t>
  </si>
  <si>
    <t xml:space="preserve">Наші 220 у межах ринку, але приблизно на 15–20% вищі за медіану (~185). Розмір 20х20 відповідає ринковій позиції «глибина 2 см».</t>
  </si>
  <si>
    <t xml:space="preserve">https://www.rabotniki.ua/uk/elektromontazhnye-raboty/kiev · штроблення в бетоні, глибина 2 см: 120/203/300 грн/м.п.; штроблення стіни в бетоні 153/197/250 · Київ · 2026 (перевірено 25.10.2026)
https://www.rabotniki.ua/uk/elektromontazhnye-raboty/lvov · штроблення в бетоні 2 см: 140/180/250; стіни в бетоні 120/170/250 · Львів · 2026 (перевірено 25.10.2026)
https://bud.arsel.com.ua/tsiny-na-budivelni-roboty/ · штроблення в бетоні 2 см 175; стін (бетон) 160 грн/м.п. · Київ · 2026-01
https://kabanchik.ua/ua/kyiv/category/elektryk · штроблення бетонної стіни під провід від 180 грн/м.п. · Київ · 10.2026
https://remmo.lviv.ua/elektromontazhni-roboty-lviv/ · панельний/монолітний бетон 20х20: 155 (у другому списку 150–175) грн/м.п. · Львів · 06.2026
https://rbk-alba.com/ua/price · штроби в бетоні 30х25: 250 грн/м.п. · Київ · 19.10.2026</t>
  </si>
  <si>
    <t xml:space="preserve">Вимірювання опору заземлювального пристрою</t>
  </si>
  <si>
    <t xml:space="preserve">Даних для приватного ринку немає. 1250 за один замір може бути виправдано лише як виклик з приладом.</t>
  </si>
  <si>
    <t xml:space="preserve">http://elektrobezpeka.com.ua/ua/elektrovimiryvan.html · опір заземлення 35 грн за контур (застарілий прайс) · Київ · н/д
https://ts.kiev.ua/price/ · комплекс вимірювань заземлення/ізоляції/петлі від 4000 · Київ · н/д (2021?)</t>
  </si>
  <si>
    <t xml:space="preserve">Вимірювання опору ізоляції кабельних ліній</t>
  </si>
  <si>
    <t xml:space="preserve">Публічні ціни є лише в електролабораторій із протоколом, і вони застарілі. Від майстрів даних немає. Ціни за лінію не перевірити.</t>
  </si>
  <si>
    <t xml:space="preserve">https://ts.kiev.ua/price/ · «вимір 30 грн, 14 грн/м², від 4000» за комплекс вимірювань (електролабораторія, дата сумнівна) · Київ · н/д (2021?)
http://elektrobezpeka.com.ua/ua/elektrovimiryvan.html · опір ізоляції 9,5 грн за кабель (застарілий прайс) · Київ · н/д</t>
  </si>
  <si>
    <t xml:space="preserve">Монтаж електричного котла</t>
  </si>
  <si>
    <t xml:space="preserve">Лише одне незалежне джерело (6700). Можна піднімати до ~5500, але даних мало.</t>
  </si>
  <si>
    <t xml:space="preserve">https://rbk-alba.com/ua/price · монтаж електрокотла 6700 · Київ · 19.10.2026
https://stroyremdizayn.kiev.ua/rascenki-na-otdelochnye-raboty.html · монтаж електричного котла 4500 (збігається з нашим прайсом, не незалежне джерело) · Київ · 2026</t>
  </si>
  <si>
    <t xml:space="preserve">Вирізка ніші під електрощит 12-36 модулів</t>
  </si>
  <si>
    <t xml:space="preserve">Для цегли (медіана ~950) ціна нормальна, для бетону (медіана ~1500) — замала. Варто розбити позицію за матеріалом: цегла/газоблок 900–1000, бетон ~1500.</t>
  </si>
  <si>
    <t xml:space="preserve">https://www.rabotniki.ua/uk/elektromontazhnye-raboty/kiev · ніша (цегла): 600/925/1200; ніша (бетон): 950/1563/2300 · Київ · 2026 (перевірено 25.10.2026)
https://www.rabotniki.ua/uk/elektromontazhnye-raboty/lvov · цегла 600/945/1500; бетон 1000/1267/1500 · Львів · 2026 (перевірено 25.10.2026)
https://bud.arsel.com.ua/tsiny-na-budivelni-roboty/ · цегла 870; бетон 1305 · Київ · 2026-01
https://kabanchik.ua/ua/kyiv/category/inshi-posluhy-elektryka · «Вартість послуг»: цегла 960, бетон 1930 · Київ · 10.2026
https://rbk-alba.com/ua/price · цегла/газобетон 1900; бетон 2600 · Київ · 19.10.2026
https://remmo.lviv.ua/elektromontazhni-roboty-lviv/ · до 24 модулів: газоблок/цегла 1100, бетон 1300 · Львів · 06.2026
https://san-sanych.ua/czini-na-poslugi/posluga-elektruk.html · газобетон/цегла 1600; бетон 2650 · Київ · 2026 (відгуки до 09.2026)</t>
  </si>
  <si>
    <t xml:space="preserve">Встановлення та підключення витяжного вентилятора</t>
  </si>
  <si>
    <t xml:space="preserve">В ринку.</t>
  </si>
  <si>
    <t xml:space="preserve">https://www.rabotniki.ua/uk/elektromontazhnye-raboty/kiev · врізний або канальний вентилятор: 300/422/530 · Київ · 2026 (перевірено 25.10.2026)
https://www.rabotniki.ua/uk/elektromontazhnye-raboty/lvov · 300/421/600 · Львів · 2026 (перевірено 25.10.2026)
https://bud.arsel.com.ua/tsiny-na-budivelni-roboty/ · 480 · Київ · 2026-01
https://rbk-alba.com/ua/price · 600 · Київ · 19.10.2026
https://san-sanych.ua/czini-na-poslugi/posluga-elektruk.html · вентилятор у ванній 550 · Київ · 2026 (відгуки до 09.2026)</t>
  </si>
  <si>
    <t xml:space="preserve">Демонтаж розетки, вимикача або світильника</t>
  </si>
  <si>
    <t xml:space="preserve">Трохи вище медіани, але позиція включає й світильники, які дорожчі.</t>
  </si>
  <si>
    <t xml:space="preserve">https://www.rabotniki.ua/uk/elektromontazhnye-raboty/kiev · вимкнення й демонтаж розеток, вимикачів, світильників: 40/56/76 · Київ · 2026 (перевірено 25.10.2026)
https://www.rabotniki.ua/uk/elektromontazhnye-raboty/lvov · 40/58/87 · Львів · 2026 (перевірено 25.10.2026)
https://bud.arsel.com.ua/tsiny-na-budivelni-roboty/ · 50 · Київ · 2026-01
https://altek.kiev.ua/uk/cini-na-elektromontazh-kyiv/ · 50 · Київ · 2026
https://rbk-alba.com/ua/price · розетка/вимикач 100; стельовий світильник 150 · Київ · 19.10.2026
https://kabanchik.ua/ua/kyiv/category/elektryk · демонтаж вимикача від 100; світильника від 150 · Київ · 10.2026</t>
  </si>
  <si>
    <t xml:space="preserve">Демонтаж старої електропроводки</t>
  </si>
  <si>
    <t xml:space="preserve">Для прихованої проводки в межах ринку.</t>
  </si>
  <si>
    <t xml:space="preserve">https://www.rabotniki.ua/uk/elektromontazhnye-raboty/kiev · демонтаж відкритої проводки 15/19/24; силового кабелю 70/118/150 · Київ · 2026 (перевірено 25.10.2026)
https://rbk-alba.com/ua/price · відкрита 60; прихована 80; дроти з гофри 30 · Київ · 19.10.2026
https://kabanchik.ua/ua/kyiv/category/elektryk · демонтаж електропроводки від 30 грн/м.п. · Київ · 10.2026</t>
  </si>
  <si>
    <t xml:space="preserve">Електромонтаж контура заземлення</t>
  </si>
  <si>
    <t xml:space="preserve">компл.</t>
  </si>
  <si>
    <t xml:space="preserve">На ~14% вище медіани, але в межах діапазону.</t>
  </si>
  <si>
    <t xml:space="preserve">https://www.rabotniki.ua/uk/elektromontazhnye-raboty/kiev · облаштування контуру заземлення, комплекс: 4900/6865/9440 · Київ · 2026 (перевірено 25.10.2026)
https://www.rabotniki.ua/uk/elektromontazhnye-raboty/lvov · 6000/7833/10000 · Львів · 2026 (перевірено 25.10.2026)
https://bud.arsel.com.ua/tsiny-na-budivelni-roboty/ · 7000 · Київ · 2026-01
https://budver.com/masters/elektromontazhni-roboti · від 5390 · Україна · 2026
https://amperage.com.ua/price/ · заземлення трикутником від 6000 · Львів · 2026 (стор. змінено 05.2026)</t>
  </si>
  <si>
    <t xml:space="preserve">Збірка розподільчої коробки розпаювання проводів</t>
  </si>
  <si>
    <t xml:space="preserve">Збігається з ринком.</t>
  </si>
  <si>
    <t xml:space="preserve">https://www.rabotniki.ua/uk/elektromontazhnye-raboty/kiev · збірка розпаювальної коробки, розпаювання проводів: 250/335/450 · Київ · 2026 (перевірено 25.10.2026)
https://www.rabotniki.ua/uk/elektromontazhnye-raboty/lvov · 250/350/450 · Львів · 2026 (перевірено 25.10.2026)
https://bud.arsel.com.ua/tsiny-na-budivelni-roboty/ · 365 · Київ · 2026-01
https://kabanchik.ua/ua/kyiv/category/inshi-posluhy-elektryka · «Вартість послуг»: 380 · Київ · 10.2026
https://remmo.lviv.ua/elektromontazhni-roboty-lviv/ · розпаювальна коробка + пайка 450 · Львів · 06.2026</t>
  </si>
  <si>
    <t xml:space="preserve">Збірка та комутація електрощита, за 1 модуль</t>
  </si>
  <si>
    <t xml:space="preserve">https://amperage.com.ua/price/ · встановлення іншого обладнання, модуль (одне місце в щиті) від 250 · Львів · 2026 (стор. змінено 05.2026)
https://www.rabotniki.ua/uk/elektromontazhnye-raboty/kiev · установка автоматів (1 фаза): 120/194/280 · Київ · 2026 (перевірено 25.10.2026)
https://kabanchik.ua/ua/kyiv/category/elektryk · збірка електрощита до 24 груп без лічильника від 3500 (≈146 за групу) · Київ · 10.2026
https://san-sanych.ua/czini-na-poslugi/posluga-elektruk.html · збірка щита до 24 автоматів без лічильника 2000 (≈83 за групу) · Київ · 2026 (відгуки до 09.2026)</t>
  </si>
  <si>
    <t xml:space="preserve">Монтаж електрощита накладного 12-36 модулів</t>
  </si>
  <si>
    <t xml:space="preserve">Збігається з ринком (корпус без модулів).</t>
  </si>
  <si>
    <t xml:space="preserve">https://www.rabotniki.ua/uk/elektromontazhnye-raboty/kiev · установка електрощитка: 500/719/1000 · Київ · 2026 (перевірено 25.10.2026)
https://www.rabotniki.ua/uk/elektromontazhnye-raboty/lvov · 600/863/1000 · Львів · 2026 (перевірено 25.10.2026)
https://bud.arsel.com.ua/tsiny-na-budivelni-roboty/ · 695 · Київ · 2026-01
https://kabanchik.ua/ua/kyiv/category/elektryk · щит накладний до 12 груп від 800; «Вартість послуг»: установка електрощитка 890 · Київ · 10.2026
https://liv-comfort.kyiv.ua/price-remont/index.html · монтаж щитової під автомати 700 · Київ · 2026
https://remmo.lviv.ua/elektromontazhni-roboty-lviv/ · установка щита накладного 900 · Львів · 06.2026
https://amperage.com.ua/price/ · коробка на 24 модулі від 1000 · Львів · 2026 (стор. змінено 05.2026)</t>
  </si>
  <si>
    <t xml:space="preserve">Монтаж підрозетника</t>
  </si>
  <si>
    <t xml:space="preserve">Ціна лише за посадку в готовий отвір. Разом з отвором у бетоні у нас 280 грн, ринок за комплекс отвір+коробка: 220–250 (див. наступну позицію).</t>
  </si>
  <si>
    <t xml:space="preserve">https://kabanchik.ua/ua/kyiv/category/elektryk · монтаж настановної коробки під розетку від 60; встановлення настановної коробки від 80 · Київ · 10.2026
https://stroyremdizayn.kiev.ua/rascenki-na-otdelochnye-raboty.html · монтаж підрозетника 60 (прайс збігається з нашим, тому не незалежне джерело) · Київ · 2026
https://220volt.com.ua/ua/information/uslugi/elektromontazh/ · установка підрозетника 10 (застарілий прайс) · Київ · н/д</t>
  </si>
  <si>
    <t xml:space="preserve">Отвір для підрозетника в бетоні</t>
  </si>
  <si>
    <t xml:space="preserve">Окремий отвір (250 за Кабанчиком і Ampérage) відповідає нашим 220. Пара «отвір + монтаж» у нас 280, а медіана ринку за комплекс ~235, тобто комплекс на ~20% дорожчий.</t>
  </si>
  <si>
    <t xml:space="preserve">https://kabanchik.ua/ua/kyiv/category/elektryk · буріння отвору під настановну коробку в бетоні від 250 · Київ · 10.2026
https://amperage.com.ua/price/ · вирізання отворів під монтажні коробки в бетоні 250 · Львів · 2026 (стор. змінено 05.2026)
https://www.rabotniki.ua/uk/elektromontazhnye-raboty/kiev · вирізка отвору й установка коробки (бетон): 150/242/330 (разом із коробкою) · Київ · 2026 (перевірено 25.10.2026)
https://www.rabotniki.ua/uk/elektromontazhnye-raboty/lvov · бетон, разом із коробкою: 180/225/320 · Львів · 2026 (перевірено 25.10.2026)
https://bud.arsel.com.ua/tsiny-na-budivelni-roboty/ · отвір + коробка (бетон) 220 · Київ · 2026-01
https://altek.kiev.ua/uk/cini-na-elektromontazh-kyiv/ · отвір + монтаж коробки в бетоні 220 · Київ · 2026
https://rbk-alba.com/ua/price · отвір + монтажна коробка в бетоні 500 · Київ · 19.10.2026</t>
  </si>
  <si>
    <t xml:space="preserve">Отвір для підрозетника в гіпсокартоні</t>
  </si>
  <si>
    <t xml:space="preserve">Наша пара «отвір 90 + монтаж у ГКЛ 75» = 165, біля медіани комплексу (~145).</t>
  </si>
  <si>
    <t xml:space="preserve">https://kabanchik.ua/ua/kyiv/category/elektryk · свердління отворів під розетки в гіпсокартоні від 150 · Київ · 10.2026
https://bud.arsel.com.ua/tsiny-na-budivelni-roboty/ · отвір + коробка (ГКЛ) 130 · Київ · 2026-01
https://altek.kiev.ua/uk/cini-na-elektromontazh-kyiv/ · отвір + коробка (ГКЛ) 140 · Київ · 2026
https://remmo.lviv.ua/elektromontazhni-roboty-lviv/ · підрозетник у ГКЛ 150 · Львів · 06.2026
https://budver.com/masters/elektromontazhni-roboti · встановлення підрозетника в гіпсокартон від 99 · Україна · 2026</t>
  </si>
  <si>
    <t xml:space="preserve">Отвір для підрозетника в цеглі</t>
  </si>
  <si>
    <t xml:space="preserve">Пара «отвір 140 + монтаж 60» = 200, у межах ринку.</t>
  </si>
  <si>
    <t xml:space="preserve">https://kabanchik.ua/ua/kyiv/category/elektryk · буріння отвору в цеглі від 180 · Київ · 10.2026
https://www.rabotniki.ua/uk/elektromontazhnye-raboty/kiev · цегла, разом із коробкою: 120/190/240 · Київ · 2026 (перевірено 25.10.2026)
https://www.rabotniki.ua/uk/elektromontazhnye-raboty/lvov · цегла, разом із коробкою: 120/168/270 · Львів · 2026 (перевірено 25.10.2026)
https://bud.arsel.com.ua/tsiny-na-budivelni-roboty/ · цегла, разом із коробкою 155 · Київ · 2026-01
https://altek.kiev.ua/uk/cini-na-elektromontazh-kyiv/ · цегла, разом із коробкою 180 · Київ · 2026
https://remmo.lviv.ua/elektromontazhni-roboty-lviv/ · підрозетник у цеглу 150 · Львів · 06.2026</t>
  </si>
  <si>
    <t xml:space="preserve">Перевірка цілісності електричного кола (продзвонка), квартири</t>
  </si>
  <si>
    <t xml:space="preserve">Збігається.</t>
  </si>
  <si>
    <t xml:space="preserve">https://www.rabotniki.ua/uk/elektromontazhnye-raboty/kiev · прозвонка проводки в приміщенні: 80/111/135 грн/м² · Київ · 2026 (перевірено 25.10.2026)
https://www.rabotniki.ua/uk/elektromontazhnye-raboty/lvov · 76/114/200 грн/м² · Львів · 2026 (перевірено 25.10.2026)</t>
  </si>
  <si>
    <t xml:space="preserve">Прокладка кабелю перерізом до 2,5 мм² в гофрованій трубі</t>
  </si>
  <si>
    <t xml:space="preserve">https://www.rabotniki.ua/uk/elektromontazhnye-raboty/kiev · підведення дроту, гофротруба: 40/61/75 · Київ · 2026 (перевірено 25.10.2026)
https://www.rabotniki.ua/uk/elektromontazhnye-raboty/lvov · гофротруба 60/83/100 · Львів · 2026 (перевірено 25.10.2026)
https://kabanchik.ua/ua/kyiv/category/inshi-posluhy-elektryka · «Вартість послуг»: підведення дроту в гофротрубі 82 грн/м.п. · Київ · 10.2026
https://bud.arsel.com.ua/tsiny-na-budivelni-roboty/ · у гофротрубі 50 · Київ · 2026-01
https://rbk-alba.com/ua/price · дріт у трубах ПВХ/гофрі 60 · Київ · 19.10.2026
https://amperage.com.ua/price/ · прокладання кабелю в гофрі до 2,5 мм² від 60 · Львів · 2026 (стор. змінено 05.2026)</t>
  </si>
  <si>
    <t xml:space="preserve">Прокладка силового кабелю</t>
  </si>
  <si>
    <t xml:space="preserve">https://www.rabotniki.ua/uk/elektromontazhnye-raboty/kiev · кабель понад 4 мм²: 35/65/100; понад 10 мм²: 48/74/100 · Київ · 2026 (перевірено 25.10.2026)
https://www.rabotniki.ua/uk/elektromontazhnye-raboty/lvov · понад 4 мм²: 35/62/90; понад 10: 60/83/110 · Львів · 2026 (перевірено 25.10.2026)
https://kabanchik.ua/ua/kyiv/category/inshi-posluhy-elektryka · «Вартість послуг»: понад 4 мм² 88, понад 10 мм² 130 · Київ · 10.2026
https://bud.arsel.com.ua/tsiny-na-budivelni-roboty/ · понад 4 мм² 50; понад 10 — 70 · Київ · 2026-01
https://rbk-alba.com/ua/price · 3х4–3х10: 100; понад 3х10: 120 · Київ · 19.10.2026
https://amperage.com.ua/price/ · 3х4–3х10 від 70; 4х10–5х16 від 100 · Львів · 2026 (стор. змінено 05.2026)</t>
  </si>
  <si>
    <t xml:space="preserve">Прорізання отворів і каналів у гіпсокартоні під кабель</t>
  </si>
  <si>
    <t xml:space="preserve">Значення 84 виглядає перерахованим; можна округлити до 90.</t>
  </si>
  <si>
    <t xml:space="preserve">https://www.rabotniki.ua/uk/elektromontazhnye-raboty/kiev · штроблення стіни під провід у гіпсокартоні: 70/93/110 · Київ · 2026 (перевірено 25.10.2026)
https://www.rabotniki.ua/uk/elektromontazhnye-raboty/lvov · гіпсокартон 70/90/120 · Львів · 2026 (перевірено 25.10.2026)
https://bud.arsel.com.ua/tsiny-na-budivelni-roboty/ · гіпсокартон 75 · Київ · 2026-01
https://kabanchik.ua/ua/kyiv/category/elektryk · штроблення гіпсокартонної стіни від 80 грн/м.п. · Київ · 10.2026</t>
  </si>
  <si>
    <t xml:space="preserve">Підключення духової шафи, посудомийної або пральної машини окремою лінією</t>
  </si>
  <si>
    <t xml:space="preserve">В ринку. Зверніть увагу: у нас окрема лінія дешевша за підключення плити (1500).</t>
  </si>
  <si>
    <t xml:space="preserve">https://kabanchik.ua/ua/kyiv/category/ustanovka-dukhovoi-shafy · підключення духовки до мережі (кабель до 5 м, розетка, автомат) від 450; встановлення 2000 · Київ · 10.2026
https://altek.kiev.ua/uk/cini-na-elektromontazh-kyiv/ · підключення духової шафи 500 · Київ · 2026
https://san-sanych.ua/czini-na-poslugi/posluga-elektruk.html · 650 · Київ · 2026 (відгуки до 09.2026)</t>
  </si>
  <si>
    <t xml:space="preserve">Укладка підлоги електричної від 10м2</t>
  </si>
  <si>
    <t xml:space="preserve">https://rbk-alba.com/ua/price · тепла підлога в матах 500 грн/м² · Київ · 19.10.2026
https://amperage.com.ua/price/ · розкладання електричної теплої підлоги від 500 · Львів · 2026 (стор. змінено 05.2026)
https://liv-comfort.kyiv.ua/price-remont/index.html · тепла електрична підлога 250 · Київ · 2026
https://remmo.lviv.ua/elektromontazhni-roboty-lviv/ · від 350 · Львів · 06.2026
https://san-sanych.ua/czini-na-poslugi/posluga-elektruk.html · 650 (з утепленням) · Київ · 2026 (відгуки до 09.2026)</t>
  </si>
  <si>
    <t xml:space="preserve">Установка автомата однополюсного</t>
  </si>
  <si>
    <t xml:space="preserve">Біля медіани.</t>
  </si>
  <si>
    <t xml:space="preserve">https://www.rabotniki.ua/uk/elektromontazhnye-raboty/kiev · установка автоматів (1 фаза): 120/194/280; монтаж автомата 120/198/280 · Київ · 2026 (перевірено 25.10.2026)
https://www.rabotniki.ua/uk/elektromontazhnye-raboty/lvov · 120/200/270 · Львів · 2026 (перевірено 25.10.2026)
https://bud.arsel.com.ua/tsiny-na-budivelni-roboty/ · 150 · Київ · 2026-01
https://amperage.com.ua/price/ · автомат 1-полюсний 250 · Львів · 2026 (стор. змінено 05.2026)
https://remmo.lviv.ua/elektromontazhni-roboty-lviv/ · автомат 1–4-полюсний 350 · Львів · 06.2026
https://altek.kiev.ua/uk/cini-na-elektromontazh-kyiv/ · автомат/ПЗВ/дифавтомат від 300 · Київ · 2026
https://budver.com/masters/elektromontazhni-roboti · від 132 · Україна · 2026</t>
  </si>
  <si>
    <t xml:space="preserve">Установка автомата триполюсного</t>
  </si>
  <si>
    <t xml:space="preserve">https://www.rabotniki.ua/uk/elektromontazhnye-raboty/kiev · автомат 3 фази: 270/437/660 · Київ · 2026 (перевірено 25.10.2026)
https://www.rabotniki.ua/uk/elektromontazhnye-raboty/lvov · 390/497/700 · Львів · 2026 (перевірено 25.10.2026)
https://bud.arsel.com.ua/tsiny-na-budivelni-roboty/ · 520 · Київ · 2026-01
https://amperage.com.ua/price/ · 3-полюсний 750 · Львів · 2026 (стор. змінено 05.2026)
https://rbk-alba.com/ua/price · заміна автомата 3Ф 600 · Київ · 19.10.2026</t>
  </si>
  <si>
    <t xml:space="preserve">Установка накладних розетки, вимикача, розподільчої коробки</t>
  </si>
  <si>
    <t xml:space="preserve">https://kabanchik.ua/ua/kyiv/category/elektryk · накладна розетка від 150; накладний вимикач від 250 · Київ · 10.2026
https://altek.kiev.ua/uk/cini-na-elektromontazh-kyiv/ · накладна розетка/вимикач 250 · Київ · 2026
https://remmo.lviv.ua/elektromontazhni-roboty-lviv/ · накладна розетка/вимикач 140 · Львів · 06.2026
https://rbk-alba.com/ua/price · накладна розетка/вимикач 250 · Київ · 19.10.2026</t>
  </si>
  <si>
    <t xml:space="preserve">Установка реле напруги однофазне</t>
  </si>
  <si>
    <t xml:space="preserve">В ринку (ближче до нижньої половини).</t>
  </si>
  <si>
    <t xml:space="preserve">https://www.rabotniki.ua/uk/elektromontazhnye-raboty/kiev · реле напруги: 300/424/625 · Київ · 2026 (перевірено 25.10.2026)
https://www.rabotniki.ua/uk/elektromontazhnye-raboty/lvov · 300/450/600 · Львів · 2026 (перевірено 25.10.2026)
https://rbk-alba.com/ua/price · РКН 650 · Київ · 19.10.2026
https://amperage.com.ua/price/ · 750 · Львів · 2026 (стор. змінено 05.2026)
https://altek.kiev.ua/uk/cini-na-elektromontazh-kyiv/ · 900 (з налаштуванням) · Київ · 2026
https://san-sanych.ua/czini-na-poslugi/posluga-elektruk.html · 900 · Київ · 2026 (відгуки до 09.2026)</t>
  </si>
  <si>
    <t xml:space="preserve">Установка та підключення відеодомофона</t>
  </si>
  <si>
    <t xml:space="preserve">Медіана ~1150–1250. Наші 1500 у межах діапазону (комплект з панеллю виклику).</t>
  </si>
  <si>
    <t xml:space="preserve">https://kabanchik.ua/ua/kyiv/category/elektryk · відеодомофон + панель виклику від 1800; «Вартість послуг»: установка відеодомофона 1210 грн/шт · Київ · 10.2026
https://www.rabotniki.ua/uk/elektromontazhnye-raboty/kiev · монтаж і установка домофона: 800/1094/1650 · Київ · 2026 (перевірено 25.10.2026)
https://www.rabotniki.ua/uk/elektromontazhnye-raboty/lvov · 750/1136/2000 · Львів · 2026 (перевірено 25.10.2026)
https://san-sanych.ua/czini-na-poslugi/posluga-elektruk.html · підключення відеодомофона 650 · Київ · 2026 (відгуки до 09.2026)
https://remmo.lviv.ua/elektromontazhni-roboty-lviv/ · домофон без камер 900 · Львів · 06.2026</t>
  </si>
  <si>
    <t xml:space="preserve">Установка та підключення розеток та вимикачів</t>
  </si>
  <si>
    <t xml:space="preserve">https://www.rabotniki.ua/uk/elektromontazhnye-raboty/kiev · установка й підключення розеток і вимикачів: 80/131/190 · Київ · 2026 (перевірено 25.10.2026)
https://www.rabotniki.ua/uk/elektromontazhnye-raboty/lvov · 100/131/192 · Львів · 2026 (перевірено 25.10.2026)
https://bud.arsel.com.ua/tsiny-na-budivelni-roboty/ · 130 · Київ · 2026-01
https://kabanchik.ua/ua/kyiv/category/elektryk · внутрішня розетка в готове місце від 120; «Вартість послуг»: установка розетки 230 · Київ · 10.2026
https://amperage.com.ua/price/ · розетка 200, вимикач 200 · Львів · 2026 (стор. змінено 05.2026)
https://remmo.lviv.ua/elektromontazhni-roboty-lviv/ · 140 · Львів · 06.2026
https://altek.kiev.ua/uk/cini-na-elektromontazh-kyiv/ · 200 · Київ · 2026
https://rbk-alba.com/ua/price · 250 · Київ · 19.10.2026</t>
  </si>
  <si>
    <t xml:space="preserve">Установка та підключення точкового світильника софіта</t>
  </si>
  <si>
    <t xml:space="preserve">https://www.rabotniki.ua/uk/elektromontazhnye-raboty/kiev · точковий світильник без трансформатора: 150/233/320 · Київ · 2026 (перевірено 25.10.2026)
https://www.rabotniki.ua/uk/elektromontazhnye-raboty/lvov · 300/333/350 · Львів · 2026 (перевірено 25.10.2026)
https://bud.arsel.com.ua/tsiny-na-budivelni-roboty/ · 220 · Київ · 2026-01
https://kabanchik.ua/ua/kyiv/category/elektryk · «Вартість послуг»: установка точкових світильників 270 грн/шт · Київ · 10.2026
https://amperage.com.ua/price/ · точковий до 10 см 250 · Львів · 2026 (стор. змінено 05.2026)
https://rbk-alba.com/ua/price · точковий у ГК 250 · Київ · 19.10.2026
https://altek.kiev.ua/uk/cini-na-elektromontazh-kyiv/ · 300 · Київ · 2026</t>
  </si>
  <si>
    <t xml:space="preserve">Установка інтернет-розетки RJ45</t>
  </si>
  <si>
    <t xml:space="preserve">На верхній межі ринку, можна 220.</t>
  </si>
  <si>
    <t xml:space="preserve">https://www.rabotniki.ua/uk/elektromontazhnye-raboty/kiev · монтаж розетки СКС: 150/203/260 · Київ · 2026 (перевірено 25.10.2026)
https://www.rabotniki.ua/uk/elektromontazhnye-raboty/lvov · 150/202/260 · Львів · 2026 (перевірено 25.10.2026)
https://rbk-alba.com/ua/price · розетка інтернет/ТВ 250 · Київ · 19.10.2026
https://remmo.lviv.ua/elektromontazhni-roboty-lviv/ · комп’ютерна розетка 140 · Львів · 06.2026</t>
  </si>
  <si>
    <t xml:space="preserve">Штроблення під електрокабель 20х20 мм (в цеглі)</t>
  </si>
  <si>
    <t xml:space="preserve">Збігається з медіаною.</t>
  </si>
  <si>
    <t xml:space="preserve">https://www.rabotniki.ua/uk/elektromontazhnye-raboty/kiev · цегла 2 см: 100/163/250; стіни в цеглі 110/135/165 · Київ · 2026 (перевірено 25.10.2026)
https://www.rabotniki.ua/uk/elektromontazhnye-raboty/lvov · цегла 2 см: 100/130/180; 80/135/190 · Львів · 2026 (перевірено 25.10.2026)
https://bud.arsel.com.ua/tsiny-na-budivelni-roboty/ · цегла 120 / 125 грн/м.п. · Київ · 2026-01
https://kabanchik.ua/ua/kyiv/category/elektryk · штроблення цегляної стіни від 120 грн/м.п. · Київ · 10.2026
https://remmo.lviv.ua/elektromontazhni-roboty-lviv/ · цегла 20х20: 105 · Львів · 06.2026
https://rbk-alba.com/ua/price · цегла/штукатурка 30х25: 200 · Київ · 19.10.2026</t>
  </si>
  <si>
    <t xml:space="preserve">Демонтаж радіатора опалення</t>
  </si>
  <si>
    <t xml:space="preserve">https://rbk-alba.com/ua/price · Демонтаж радіаторів (сталевих) 450; демонтаж радіатора (опалення) 500 грн/шт · Київ · 2026-10-19
https://liv-comfort.kyiv.ua/price-remont/index.html · Демонтаж радіаторів 400 грн/шт · Київ · 2026
https://santehprofi.kyiv.ua/tsiny/ · демонтаж радіатора від 500 · Київ · 2025-10-11
https://rimeik.com.ua/ceny-santehnik-lviv · Демонтаж батарей опалення 200 грн (слабке джерело) · Львів · н/д</t>
  </si>
  <si>
    <t xml:space="preserve">Демонтаж умивальника раковини</t>
  </si>
  <si>
    <t xml:space="preserve">Наша ціна дорівнює ринковому мінімуму.</t>
  </si>
  <si>
    <t xml:space="preserve">https://www.rabotniki.ua/uk/santehnicheskie-raboty/kiev · 200/333/450 грн/шт · Київ · 2026
https://www.rabotniki.ua/uk/santehnicheskie-raboty/lvov · 250/343/480 · Львів · 2026
https://bud.arsel.com.ua/tsiny-na-budivelni-roboty/ · 265 · Київ · 2026-01
https://rbk-alba.com/ua/price · Демонтаж умивальника (без збереження) 350 грн/шт · Київ · 2026-10-19</t>
  </si>
  <si>
    <t xml:space="preserve">Демонтаж унітазу</t>
  </si>
  <si>
    <t xml:space="preserve">https://www.rabotniki.ua/uk/santehnicheskie-raboty/kiev · 280/436/620 грн/шт · Київ · 2026
https://www.rabotniki.ua/uk/santehnicheskie-raboty/lvov · 300/500/700 · Львів · 2026
https://bud.arsel.com.ua/tsiny-na-budivelni-roboty/ · 350 · Київ · 2026-01
https://rbk-alba.com/ua/price · Демонтаж унітазу, біде 450 грн/шт · Київ · 2026-10-19
https://kabanchik.ua/ua/lviv/category/inshi-posluhy-santekhnika · Демонтаж унітазу 690 грн · Львів · 2026-10</t>
  </si>
  <si>
    <t xml:space="preserve">Монтаж буферної ємності</t>
  </si>
  <si>
    <t xml:space="preserve">Нижче за мінімум.</t>
  </si>
  <si>
    <t xml:space="preserve">https://www.rabotniki.ua/uk/sistemy-otopleniya/kiev · Монтаж буферної ємності для котла 5500/7288/9000 грн/шт · Київ · 2026
https://www.rabotniki.ua/uk/sistemy-otopleniya/lvov · 5500/7525/9500 грн/шт · Львів · 2026</t>
  </si>
  <si>
    <t xml:space="preserve">Монтаж гідрострілки опалення</t>
  </si>
  <si>
    <t xml:space="preserve">https://www.rabotniki.ua/uk/sistemy-otopleniya/kiev · 1450/1930/2500 грн/шт · Київ · 2026
https://www.rabotniki.ua/uk/sistemy-otopleniya/lvov · 1450/1950/2500 грн/шт · Львів · 2026</t>
  </si>
  <si>
    <t xml:space="preserve">Монтаж зворотного клапана каналізації Ø110</t>
  </si>
  <si>
    <t xml:space="preserve">Ринок не ділить клапани за діаметром. Для Ø50 залишити 1300 прийнятно.</t>
  </si>
  <si>
    <t xml:space="preserve">https://www.rabotniki.ua/uk/santehnicheskie-raboty/kiev · Монтаж зворотного клапана каналізації 1300/1906/2450 грн/шт · Київ · 2026
https://www.rabotniki.ua/uk/santehnicheskie-raboty/lvov · 1300/1919/2500 грн/шт · Львів · 2026
https://bud.arsel.com.ua/tsiny-na-budivelni-roboty/ · 1740 грн/шт · Київ · 2026-01</t>
  </si>
  <si>
    <t xml:space="preserve">Монтаж змішувального вузла теплої підлоги</t>
  </si>
  <si>
    <t xml:space="preserve">https://www.rabotniki.ua/uk/teplyy-pol · Збірка і установка змішувального вузла 1700/2164/3000 грн/шт · Україна · 2026
https://santehprofi.kyiv.ua/tsiny/ · складання та встановлення змішувального вузла 1203 грн/шт · Київ · 2025-10-11
https://rating-remont-kvartir.com.ua/ua/rozcinki-na-santehnichni-roboti/ · Монтаж розподільного вузла теплої підлоги 1500 грн (слабке джерело) · Україна · 2026-09-14</t>
  </si>
  <si>
    <t xml:space="preserve">Монтаж колектора водопостачання (гребінки) з кранами на виходах</t>
  </si>
  <si>
    <t xml:space="preserve">1300 нижче за мінімум rabotniki.</t>
  </si>
  <si>
    <t xml:space="preserve">https://www.rabotniki.ua/uk/santehnicheskie-raboty/kiev · Монтаж колектора 1500/2325/3300 грн/шт · Київ · 2026
https://www.rabotniki.ua/uk/santehnicheskie-raboty/lvov · 1800/2433/3000 грн/шт · Львів · 2026
https://santehprofi.kyiv.ua/tsiny/ · монтаж колектора від 1050 · Київ · 2025-10-11
https://rating-remont-kvartir.com.ua/ua/rozcinki-na-santehnichni-roboti/ · Монтаж колекторної системи від 1000 (слабке джерело) · Україна · 2026-09-14</t>
  </si>
  <si>
    <t xml:space="preserve">Монтаж колектора гребінки</t>
  </si>
  <si>
    <t xml:space="preserve">Ціна 1281 не кругла, як і 1203, 1450 та 5190 у цьому розділі. Схоже, її імпортували з шаблону. Гребінку понад 5 контурів варто винести окремо (~3500).</t>
  </si>
  <si>
    <t xml:space="preserve">https://www.rabotniki.ua/uk/sistemy-otopleniya/kiev · Монтаж колектора 1500/1757/2300; гребінка опалення до 5 контурів 1700/2183/2500 грн/шт · Київ · 2026
https://www.rabotniki.ua/uk/sistemy-otopleniya · Гребінка до 5 контурів 1700/2343/3300; понад 5 контурів 2000/3531/5000 грн/шт · Україна · 2026
https://santehprofi.kyiv.ua/tsiny/ · встановлення та підключення гребінки опалення від 1050 · Київ · 2025-10-11</t>
  </si>
  <si>
    <t xml:space="preserve">Монтаж котельної (котел, бойлер, насоси, крани, фільтра) - від</t>
  </si>
  <si>
    <t xml:space="preserve">Навіть як ціна «від» 20000 нижче за ринкові мінімуми 30–35 тис. Є також дублікат у розділі «Опалення» за 825 (див. аномалії).</t>
  </si>
  <si>
    <t xml:space="preserve">https://www.rabotniki.ua/uk/sistemy-otopleniya/kiev · Обв'язка котельні до 40 кВт під ключ 50000/61533/80000 грн/шт · Київ · 2026
https://www.rabotniki.ua/uk/sistemy-otopleniya/lvov · 35000/60156/80000 грн/шт · Львів · 2026
https://santehprofi.kyiv.ua/tsiny/ · обв'язування котельні до 40 кВт під ключ 30000; обв'язування газового котла від 8500 · Київ · 2025-10-11</t>
  </si>
  <si>
    <t xml:space="preserve">Монтаж кульового крана</t>
  </si>
  <si>
    <t xml:space="preserve">https://www.rabotniki.ua/uk/santehnicheskie-raboty/kiev · Монтаж водозапірної арматури (кран, вентиль) 250/436/550 грн/шт · Київ · 2026
https://www.rabotniki.ua/uk/santehnicheskie-raboty/lvov · 250/333/400 грн/шт · Львів · 2026
https://bud.arsel.com.ua/tsiny-na-budivelni-roboty/ · 435 грн/шт · Київ · 2026-01
https://www.remonthub.org/prices.php · Установка кранів шарових 250 грн/шт · Київ · 2026
https://budver.com/masters/santehnichni-roboti · від 275 · Україна · 2026</t>
  </si>
  <si>
    <t xml:space="preserve">Монтаж кухонного подрібнювача</t>
  </si>
  <si>
    <t xml:space="preserve">https://www.rabotniki.ua/uk/santehnicheskie-raboty/kiev · 900/1350/1900 грн/шт · Київ · 2026
https://www.rabotniki.ua/uk/santehnicheskie-raboty/lvov · 900/1309/2000 грн/шт · Львів · 2026
https://bud.arsel.com.ua/tsiny-na-budivelni-roboty/ · 1200 грн/шт · Київ · 2026-01
https://budver.com/masters/santehnichni-roboti · від 990 · Україна · 2026
https://rating-remont-kvartir.com.ua/ua/rozcinki-na-santehnichni-roboti/ · 1250 грн/шт · Україна · 2026-09-14</t>
  </si>
  <si>
    <t xml:space="preserve">Монтаж магістрального фільтра механічного очищення</t>
  </si>
  <si>
    <t xml:space="preserve">Фільтр-колба без байпаса — 1100–2000; простий сітчастий — 600–1000.</t>
  </si>
  <si>
    <t xml:space="preserve">https://www.rabotniki.ua/uk/vodosnabzhenie-ochistka-vody · Обв'язка фільтра-колби механічного очищення без байпаса 1100/1500/2000; з байпасом 1500/2080/2800 грн/шт · Україна · 2026
https://www.rabotniki.ua/uk/santehnicheskie-raboty/kiev · Монтаж фільтра самопромивного 600/1014/1400 грн/шт · Київ · 2026
https://kabanchik.ua/ua/kyiv/category/santekhnik · Установка фільтра для води 2100 грн (Вартість послуг) · Київ · 2026-10</t>
  </si>
  <si>
    <t xml:space="preserve">Монтаж насосної групи</t>
  </si>
  <si>
    <t xml:space="preserve">https://www.rabotniki.ua/uk/sistemy-otopleniya/kiev · 950/1476/2000 грн/шт · Київ · 2026
https://www.rabotniki.ua/uk/sistemy-otopleniya/lvov · 1200/1619/2000 грн/шт · Львів · 2026</t>
  </si>
  <si>
    <t xml:space="preserve">Монтаж насосної станції</t>
  </si>
  <si>
    <t xml:space="preserve">За насосну станцію знайшли лише одне джерело (rabotniki по Україні). Але 1700 нижче за мінімум, а наш гідроакумулятор окремо коштує 1200.</t>
  </si>
  <si>
    <t xml:space="preserve">https://www.rabotniki.ua/uk/vodosnabzhenie-ochistka-vody · Монтаж насосної станції 2500/3371/4500 грн/шт · Україна · 2026
https://www.rabotniki.ua/uk/santehnicheskie-raboty/kiev · Монтаж гідроакумулятора 850/1516/2000 грн/шт (для порівняння) · Київ · 2026</t>
  </si>
  <si>
    <t xml:space="preserve">Монтаж прихованої частини душової системи (вбудований корпус)</t>
  </si>
  <si>
    <t xml:space="preserve">1300 нижче за ринковий мінімум 1500. До того ж вбудований корпус душової системи у нас дешевший за приховану частину змішувача умивальника (1800), хоча він складніший.</t>
  </si>
  <si>
    <t xml:space="preserve">https://www.rabotniki.ua/uk/santehnicheskie-raboty/kiev · Монтаж мультибокса (змішувач вбудований в стіну) 1530/2590/3700 грн/шт · Київ · 2026
https://www.rabotniki.ua/uk/santehnicheskie-raboty/lvov · 1500/2583/3750 грн/шт · Львів · 2026
https://bud.arsel.com.ua/tsiny-na-budivelni-roboty/ · Монтаж мультибоксу 2175 грн/шт · Київ · 2026-01
https://rating-remont-kvartir.com.ua/ua/rozcinki-na-santehnichni-roboti/ · 1900 грн/шт · Україна · 2026-09-14
https://budver.com/masters/santehnichni-roboti · від 1650 · Україна · 2026</t>
  </si>
  <si>
    <t xml:space="preserve">Монтаж прихованої частини змішувача (душ, біде)</t>
  </si>
  <si>
    <t xml:space="preserve">Порівнюється з тим самим ринковим «мультибоксом». «Прихована частина змішувача умивальника» за 1800 — ok.</t>
  </si>
  <si>
    <t xml:space="preserve">https://www.rabotniki.ua/uk/santehnicheskie-raboty/kiev · Монтаж мультибокса 1530/2590/3700 грн/шт · Київ · 2026
https://bud.arsel.com.ua/tsiny-na-budivelni-roboty/ · Монтаж мультибоксу 2175 грн/шт · Київ · 2026-01
https://budver.com/masters/santehnichni-roboti · від 1650 · Україна · 2026</t>
  </si>
  <si>
    <t xml:space="preserve">Монтаж редуктора тиску води</t>
  </si>
  <si>
    <t xml:space="preserve">https://www.rabotniki.ua/uk/santehnicheskie-raboty/kiev · Монтаж редуктора тиску 600/901/1200 грн/шт · Київ · 2026
https://www.rabotniki.ua/uk/santehnicheskie-raboty/lvov · 600/897/1200 грн/шт · Львів · 2026
https://bud.arsel.com.ua/tsiny-na-budivelni-roboty/ · 750 грн/шт · Київ · 2026-01
https://www.remonthub.org/prices.php · 350 грн/шт · Київ · 2026
https://santehprofi.kyiv.ua/tsiny/ · встановлення редуктора від 1100 · Київ · 2025-10-11</t>
  </si>
  <si>
    <t xml:space="preserve">Монтаж сололіфта</t>
  </si>
  <si>
    <t xml:space="preserve">1300 нижче за мінімум усіх джерел.</t>
  </si>
  <si>
    <t xml:space="preserve">https://www.rabotniki.ua/uk/santehnicheskie-raboty/kiev · Монтаж сололіфт 1950/2467/3000 грн/шт · Київ · 2026
https://www.rabotniki.ua/uk/santehnicheskie-raboty/lvov · 2000/2500/3000 грн/шт · Львів · 2026
https://budver.com/masters/santehnichni-roboti · Встановлення сололіфту від 1650 · Україна · 2026</t>
  </si>
  <si>
    <t xml:space="preserve">Монтаж трубної системи тепла підлога з утеплювачем</t>
  </si>
  <si>
    <t xml:space="preserve">У нашу ціну входять ще утеплювач, плівка й демпферна стрічка, проте 200 нижче за всі ринкові мінімуми, навіть за саму трубу.</t>
  </si>
  <si>
    <t xml:space="preserve">https://www.rabotniki.ua/uk/teplyy-pol · Укладання труби теплої підлоги, згідно з проектом 270/384/520 грн/м² · Україна · 2026
https://rbk-alba.com/ua/price · Прокладання трубопроводів теплої підлоги 450 грн/м² · Київ · 2026-10-19
https://santehprofi.kyiv.ua/tsiny/ · монтаж водяної теплої підлоги 250; укладання труби теплої підлоги 300 грн/м² · Київ · 2025-10-11
https://news.telegraf.com.ua/ukr/obshhestvo/5940271-vodyanoy-ili-elektricheskiy-teplyy-pol-skolko-stoit-montazh-i-chto-bystree-okupitsya · Водяна тепла підлога: «Монтаж — від 250 до 520 грн/кв. м» · Україна · 2026-05-16
https://www.remonthub.org/prices.php · Монтаж теплої підлоги від 250 грн/м² · Київ · 2026</t>
  </si>
  <si>
    <t xml:space="preserve">Монтаж фільтра зворотного осмосу</t>
  </si>
  <si>
    <t xml:space="preserve">850 нижче за ринковий мінімум.</t>
  </si>
  <si>
    <t xml:space="preserve">https://www.rabotniki.ua/uk/santehnicheskie-raboty/kiev · Монтаж простого фільтра очищення води осмос 1050/1621/2100 грн/шт · Київ · 2026
https://www.rabotniki.ua/uk/santehnicheskie-raboty/lvov · 1000/1504/2200 грн/шт · Львів · 2026
https://kabanchik.ua/ua/kyiv/category/santekhnik · Установка зворотного осмосу 3170 грн (Вартість послуг) · Київ · 2026-10
https://kabanchik.ua/ua/lviv/category/santekhnik · 3570 грн (Вартість послуг) · Львів · 2026-10
https://budver.com/masters/santehnichni-roboti · Встановлення зворотного осмосу від 1100 · Україна · 2026</t>
  </si>
  <si>
    <t xml:space="preserve">Монтаж фільтра самопромивного</t>
  </si>
  <si>
    <t xml:space="preserve">Крім того, одиниця POINT помилкова, має бути PIECE.</t>
  </si>
  <si>
    <t xml:space="preserve">https://www.rabotniki.ua/uk/santehnicheskie-raboty/kiev · Монтаж фільтра самопромивного 600/1014/1400 грн/шт · Київ · 2026
https://www.rabotniki.ua/uk/santehnicheskie-raboty/lvov · 600/1002/1500 грн/шт · Львів · 2026
https://bud.arsel.com.ua/tsiny-na-budivelni-roboty/ · 950 грн/шт · Київ · 2026-01
https://www.remonthub.org/prices.php · Установка фільтра тонкої очистки самопромивного 350 грн/шт · Київ · 2026</t>
  </si>
  <si>
    <t xml:space="preserve">Прокладання труб з ізоляцією</t>
  </si>
  <si>
    <t xml:space="preserve">Саме прокладання Ø16-40 коштує 85–105 грн/м.п., ізоляція окремо ще 40–50. Тож прокладання з ізоляцією ≈130–150. 100 грн покриває тільки прокладання.</t>
  </si>
  <si>
    <t xml:space="preserve">https://www.rabotniki.ua/uk/santehnicheskie-raboty/kiev · Прокладка м/п та PPR Ø16-40: 60/93/150 і 60/93/120 грн/м.п.; ізоляція труб 30/44/60 грн/м.п. · Київ · 2026
https://www.rabotniki.ua/uk/santehnicheskie-raboty/lvov · М/п Ø16-40 55/85/150; PPR 60/73/80; ізоляція 30/41/60 грн/м.п. · Львів · 2026
https://bud.arsel.com.ua/tsiny-na-budivelni-roboty/ · М/п Ø16-40 105, PPR 85, ізоляція труб 50 грн/м.п. · Київ · 2026-01
https://rating-remont-kvartir.com.ua/ua/rozcinki-na-santehnichni-roboti/ · Прокладання м/п і PPR Ø16-40 по 80 грн/м.п.; утеплення мерилоном 40 грн/м.п. (слабке джерело) · Україна · 2026-09-14</t>
  </si>
  <si>
    <t xml:space="preserve">Установка гідроакумулятора</t>
  </si>
  <si>
    <t xml:space="preserve">https://www.rabotniki.ua/uk/santehnicheskie-raboty/kiev · Монтаж гідроакумулятора 850/1516/2000 грн/шт · Київ · 2026
https://www.rabotniki.ua/uk/santehnicheskie-raboty/lvov · 850/1442/2000 грн/шт · Львів · 2026
https://www.rabotniki.ua/uk/vodosnabzhenie-ochistka-vody · Установка і підключення гідроакумулятора (до 300 л) 2000/2875/3500 грн/шт · Україна · 2026</t>
  </si>
  <si>
    <t xml:space="preserve">Установка душової кабіни простої</t>
  </si>
  <si>
    <t xml:space="preserve">Аномалія: «Установка душової кабіни бокс» коштує 2000, тобто дешевше за просту, хоча гідробокс складніший.</t>
  </si>
  <si>
    <t xml:space="preserve">https://www.rabotniki.ua/uk/santehnicheskie-raboty/kiev · Установка душової кабіни (без змішувача) 2900/3989/5000 грн/шт · Київ · 2026
https://www.rabotniki.ua/uk/santehnicheskie-raboty/lvov · 2000/3776/5100 грн/шт · Львів · 2026
https://bud.arsel.com.ua/tsiny-na-budivelni-roboty/ · 2785 грн/шт · Київ · 2026-01
https://santehprofi.kyiv.ua/tsiny/ · Монтаж душової кабіни від 5500 · Київ · 2025-10-11
https://budver.com/masters/santehnichni-roboti · Встановлення душової кабіни від 2200 · Україна · 2026</t>
  </si>
  <si>
    <t xml:space="preserve">Установка електрокотла до 28 кВт</t>
  </si>
  <si>
    <t xml:space="preserve">https://www.rabotniki.ua/uk/sistemy-otopleniya/kiev · Установка електрокотла до 28 кВт 2500/3825/4500 грн/шт · Київ · 2026
https://www.rabotniki.ua/uk/sistemy-otopleniya/lvov · 2500/4200/5600 грн/шт · Львів · 2026
https://santehprofi.kyiv.ua/tsiny/ · монтаж електричного котла від 3400 · Київ · 2025-10-11
https://rbk-alba.com/ua/price · Монтаж електрокотла 6700 грн/шт · Київ · 2026-10-19</t>
  </si>
  <si>
    <t xml:space="preserve">Установка конденсаційного котла</t>
  </si>
  <si>
    <t xml:space="preserve">https://www.rabotniki.ua/uk/sistemy-otopleniya/kiev · 3000/4200/5500 грн/шт · Київ · 2026
https://www.rabotniki.ua/uk/sistemy-otopleniya/lvov · 3000/4971/7000 грн/шт · Львів · 2026</t>
  </si>
  <si>
    <t xml:space="preserve">Установка настінного двоконтурного котла</t>
  </si>
  <si>
    <t xml:space="preserve">Підключення до газу виконує лише ліцензована організація.</t>
  </si>
  <si>
    <t xml:space="preserve">https://www.rabotniki.ua/uk/sistemy-otopleniya/kiev · Настінний двоконтурний газовий котел до 32 кВт 2500/3728/5140 грн/шт · Київ · 2026
https://www.rabotniki.ua/uk/sistemy-otopleniya/lvov · 2500/4418/6200 грн/шт · Львів · 2026
https://santehprofi.kyiv.ua/tsiny/ · встановлення газового котла від 3800 · Київ · 2025-10-11
https://vencon.ua/ua/catalog/montazh-otopleniya · Монтаж газового котла на підготовлені виходи (до 28 кВт) 6857 грн (4800 при купівлі котла; слабке джерело) · Київ · 2026</t>
  </si>
  <si>
    <t xml:space="preserve">Установка настінного одноконтурного котла з бойлером</t>
  </si>
  <si>
    <t xml:space="preserve">3000 значно нижче за ринковий мінімум 4700.</t>
  </si>
  <si>
    <t xml:space="preserve">https://www.rabotniki.ua/uk/sistemy-otopleniya/kiev · Настінний одноконтурний котел з бойлером до 32 кВт 4700/5163/6500 грн/шт · Київ · 2026
https://www.rabotniki.ua/uk/sistemy-otopleniya/lvov · 4700/5621/7000 грн/шт · Львів · 2026</t>
  </si>
  <si>
    <t xml:space="preserve">Установка пелетного котла</t>
  </si>
  <si>
    <t xml:space="preserve">10056 нижче за мінімум, і ціна не кругла.</t>
  </si>
  <si>
    <t xml:space="preserve">https://www.rabotniki.ua/uk/sistemy-otopleniya/kiev · Пелетний котел зі складанням бункера 10200/12550/17500 грн/шт · Київ · 2026
https://www.rabotniki.ua/uk/sistemy-otopleniya/lvov · 10200/13867/20000 грн/шт · Львів · 2026</t>
  </si>
  <si>
    <t xml:space="preserve">Установка твердопаливного котла</t>
  </si>
  <si>
    <t xml:space="preserve">6000 нижче за ринковий мінімум.</t>
  </si>
  <si>
    <t xml:space="preserve">https://www.rabotniki.ua/uk/sistemy-otopleniya/kiev · Твердопаливний котел до 55 кВт 7500/9100/13200 грн/шт · Київ · 2026
https://www.rabotniki.ua/uk/sistemy-otopleniya/lvov · 7500/10414/14500 грн/шт · Львів · 2026
https://santehprofi.kyiv.ua/tsiny/ · встановлення твердопаливного котла від 8500 · Київ · 2025-10-11</t>
  </si>
  <si>
    <t xml:space="preserve">Установка унітазу на готову інсталяцію</t>
  </si>
  <si>
    <t xml:space="preserve">Обидва rabotniki дають середнє ≈1800, arsel 1220. Кнопку змиву у нас рахують окремо (1300), тож 1600 разом із нею виходить навіть із запасом.</t>
  </si>
  <si>
    <t xml:space="preserve">https://www.rabotniki.ua/uk/santehnicheskie-raboty/kiev · Монтаж унітазу на навісній консолі з кнопкою 1000/1841/2800 грн/шт · Київ · 2026
https://www.rabotniki.ua/uk/santehnicheskie-raboty/lvov · 1000/1750/2800 грн/шт · Львів · 2026
https://bud.arsel.com.ua/tsiny-na-budivelni-roboty/ · Монтаж унітазу на навісній консолі з кнопкою 1220 грн/шт · Київ · 2026-01
https://santehprofi.kyiv.ua/tsiny/ · встановлення унітазу на інсталяцію від 1200 · Київ · 2025-10-11</t>
  </si>
  <si>
    <t xml:space="preserve">Штроблення під трубу 100мм в бетоні</t>
  </si>
  <si>
    <t xml:space="preserve">Аномалія: штроба під трубу 100 мм у бетоні (200) дешевша за штробу під воду (370), хоча вона більша. Те саме стосується «Штроблення в бетоні (каналізація)» 200. За ринком каналізаційна штроба коштує ≥350.</t>
  </si>
  <si>
    <t xml:space="preserve">https://www.remonthub.org/prices.php · Штроблення під труби каналізації Ø50 (бетон): 350 грн/м.п. (вода Ø16–25: 200) · Київ · 2026
https://rbk-alba.com/ua/price · Штроблення (бетон) 500 грн/м.п. · Київ · 2026-10-19
https://rimeik.com.ua/ceny-santehnik-lviv · Штроблення стін для монтажу труб каналізації 350 грн/м (слабке джерело) · Львів · н/д</t>
  </si>
  <si>
    <t xml:space="preserve">Штроблення під трубу 100мм в газобетоні цеглі</t>
  </si>
  <si>
    <t xml:space="preserve">Штроба 100 мм не може коштувати менше за 5-сантиметрову під воду (300 у нас). Те саме стосується «Штроблення в газобетоні цеглі (каналізація)» 150.</t>
  </si>
  <si>
    <t xml:space="preserve">https://www.remonthub.org/prices.php · Штроблення під труби каналізації Ø32–50 (цегла): 180 грн/м.п. · Київ · 2026
https://www.rabotniki.ua/uk/santehnicheskie-raboty/kiev · Штроблення в цеглі, 5 см (вода) 160/269/400 грн/м.п. · Київ · 2026
https://rbk-alba.com/ua/price · Штроблення (цегла) 350 грн/м.п. · Київ · 2026-10-19</t>
  </si>
  <si>
    <t xml:space="preserve">Врізка в стояк водопроводу</t>
  </si>
  <si>
    <t xml:space="preserve">1500 вище за ринковий максимум 1350.</t>
  </si>
  <si>
    <t xml:space="preserve">https://www.rabotniki.ua/uk/santehnicheskie-raboty/kiev · Врізка в стояк, 1 точка врізу: 700/1084/1350 грн/шт · Київ · 2026
https://www.rabotniki.ua/uk/santehnicheskie-raboty/lvov · 700/964/1350 грн/шт · Львів · 2026
https://bud.arsel.com.ua/tsiny-na-budivelni-roboty/ · Заміна крана для води 1305 грн/шт (близька операція) · Київ · 2026-01</t>
  </si>
  <si>
    <t xml:space="preserve">Монтаж інсталяції для унітазу</t>
  </si>
  <si>
    <t xml:space="preserve">Рама за 2600 приблизно на 18% вища за медіану, а унітаз на готову інсталяцію (1300) нижчий за ринок (~1800). Пропонуємо перерозподілити: 2300 + 1600. Загальна сума майже не зміниться.</t>
  </si>
  <si>
    <t xml:space="preserve">https://www.rabotniki.ua/uk/santehnicheskie-raboty/kiev · Установка інсталяції 1500/2359/3700 грн/шт · Київ · 2026
https://www.rabotniki.ua/uk/santehnicheskie-raboty/lvov · 1500/2417/3250 грн/шт · Львів · 2026
https://bud.arsel.com.ua/tsiny-na-budivelni-roboty/ · Встановлення інсталяції 2000 грн/шт · Київ · 2026-01
https://www.remonthub.org/prices.php · Установка інсталяції сантехнічних приладів 1350 грн/шт · Київ · 2026
https://kabanchik.ua/ua/lviv/category/inshi-posluhy-santekhnika · Установка інсталяції унітазу 1990 грн (Вартість послуг) · Львів · 2026-10
https://santehprofi.kyiv.ua/tsiny/ · монтаж інсталяції від 3000 · Київ · 2025-10-11
https://budver.com/masters/santehnichni-roboti · Встановлення інсталяції унітазу від 1650 · Україна · 2026</t>
  </si>
  <si>
    <t xml:space="preserve">Опресування (гідравлічне випробування) опалення</t>
  </si>
  <si>
    <t xml:space="preserve">Опресування водопроводу за 900 — ok.</t>
  </si>
  <si>
    <t xml:space="preserve">https://www.rabotniki.ua/uk/sistemy-otopleniya/kiev · Випробування системи тиском в 6 бар 900/1328/1840 грн/шт · Київ · 2026
https://www.rabotniki.ua/uk/sistemy-otopleniya/lvov · 900/1271/1840 грн/шт · Львів · 2026
https://www.rabotniki.ua/uk/teplyy-pol · Випробування системи теплої підлоги тиском 6 бар 800/1263/2000 грн/шт · Україна · 2026</t>
  </si>
  <si>
    <t xml:space="preserve">Прокладка труб каналізації</t>
  </si>
  <si>
    <t xml:space="preserve">220 вище за максимум для Ø50 і навіть за медіану для Ø110. Можна розділити на Ø50 (≈150) і Ø110 (≈190). Те саме стосується «Прокладання труб на хомутах (каналізація)» 220.</t>
  </si>
  <si>
    <t xml:space="preserve">https://www.rabotniki.ua/uk/santehnicheskie-raboty/kiev · Розводка каналізації 50 мм 90/128/180; 110 мм 120/196/270 грн/м.п. · Київ · 2026
https://www.rabotniki.ua/uk/santehnicheskie-raboty/lvov · 50 мм 140/160/190; 110 мм 120/187/270 грн/м.п. · Львів · 2026
https://bud.arsel.com.ua/tsiny-na-budivelni-roboty/ · Розведення каналізації 50 мм 150; 110 мм 175 грн/м.п. · Київ · 2026-01
https://rating-remont-kvartir.com.ua/ua/rozcinki-na-santehnichni-roboti/ · Внутрішня розводка 50 мм 130 грн/м.п. · Україна · 2026-09-14</t>
  </si>
  <si>
    <t xml:space="preserve">Установка ванни із гідромасажем</t>
  </si>
  <si>
    <t xml:space="preserve">7500 близько до ринкового максимуму.</t>
  </si>
  <si>
    <t xml:space="preserve">https://www.rabotniki.ua/uk/santehnicheskie-raboty/kiev · Установка і підключення ванни з гідромасажем 4000/5969/8000 грн/шт · Київ · 2026
https://www.rabotniki.ua/uk/santehnicheskie-raboty/lvov · 4000/5872/8100 грн/шт · Львів · 2026
https://rating-remont-kvartir.com.ua/ua/rozcinki-na-santehnichni-roboti/ · 5000 грн/шт · Україна · 2026-09-14
https://budver.com/masters/santehnichni-roboti · Встановлення джакузі від 4400 · Україна · 2026</t>
  </si>
  <si>
    <t xml:space="preserve">Установка та підключення душового піддону (готового)</t>
  </si>
  <si>
    <t xml:space="preserve">Наші 4500 приблизно вдвічі вищі за ринковий максимум. Ціна виправдана лише для піддону, який роблять на місці з цегли та гідроізоляції, а йдеться про готовий.</t>
  </si>
  <si>
    <t xml:space="preserve">https://www.rabotniki.ua/uk/santehnicheskie-raboty/kiev · Установка душового піддону 1500/2218/3000 грн/шт · Київ · 2026
https://www.rabotniki.ua/uk/santehnicheskie-raboty/lvov · 1500/2284/3250 грн/шт · Львів · 2026
https://bud.arsel.com.ua/tsiny-na-budivelni-roboty/ · 2000 грн/шт · Київ · 2026-01
https://kabanchik.ua/ua/kyiv/category/santekhnik · Установка душового піддону 1720 грн (Вартість послуг) · Київ · 2026-10
https://kabanchik.ua/ua/lviv/category/santekhnik · 2110 грн (Вартість послуг) · Львів · 2026-10
https://santehprofi.kyiv.ua/tsiny/ · Монтаж душового піддону від 2500 · Київ · 2025-10-11</t>
  </si>
  <si>
    <t xml:space="preserve">Установка та підключення пральної, сушильної машини</t>
  </si>
  <si>
    <t xml:space="preserve">Те саме стосується «Підключення посудомийної машини» 1000. Ціна передбачає підключення до готових виводів. santehprofi і pricesua дають вищі значення, але це прайси «від» і огляд.</t>
  </si>
  <si>
    <t xml:space="preserve">https://www.rabotniki.ua/uk/santehnicheskie-raboty/kiev · Установка і підключення пральної/посудомийної машини 500/740/1100 грн/шт · Київ · 2026
https://www.rabotniki.ua/uk/santehnicheskie-raboty/lvov · 500/803/1200 грн/шт · Львів · 2026
https://bud.arsel.com.ua/tsiny-na-budivelni-roboty/ · 610 грн/шт · Київ · 2026-01
https://www.remonthub.org/prices.php · 500 грн/шт · Київ · 2026
https://santehprofi.kyiv.ua/tsiny/ · підключення пральної машини від 1300 · Київ · 2025-10-11
https://pricesua.com/rozcinky-santehnichni-roboty-ukrayina-2026/ · 800–2000 грн · Україна · 2026-07-02</t>
  </si>
  <si>
    <t xml:space="preserve">Прокладання труб на хомутах</t>
  </si>
  <si>
    <t xml:space="preserve">Окремої ринкової позиції «на хомутах» не знайшли. 180 дорівнює ринковій ціні для Ø55-63; для Ø16-40 на кліпсах ринок дає ≈95. Варто зменшити до ~130 або розділити за діаметром.</t>
  </si>
  <si>
    <t xml:space="preserve">https://www.rabotniki.ua/uk/santehnicheskie-raboty/kiev · Прокладка м/п Ø16-40 60/93/150; Ø55-63 110/177/230 грн/м.п. · Київ · 2026
https://bud.arsel.com.ua/tsiny-na-budivelni-roboty/ · М/п Ø16-40 105; Ø55-63 175 грн/м.п. · Київ · 2026-01
https://kabanchik.ua/ua/kyiv/category/ustanovka-boilera · «Монтаж-прокладка труб через стіну» 390 грн/м.п. (Вартість послуг) · Київ · 2026-10</t>
  </si>
  <si>
    <t xml:space="preserve">Виводи каналізації по точках</t>
  </si>
  <si>
    <t xml:space="preserve">https://www.rabotniki.ua/uk/santehnicheskie-raboty/kiev · Точка каналізації 495/773/1150 грн/шт · Київ · 2026
https://www.rabotniki.ua/uk/santehnicheskie-raboty/lvov · Точка каналізації 550/783/1100 грн/шт · Львів · 2026
https://bud.arsel.com.ua/tsiny-na-budivelni-roboty/ · Монтаж каналізації 695 грн/шт · Київ · 2026-01
https://santehprofi.kyiv.ua/tsiny/ · розведення труб каналізації від 400 за точку · Київ · 2025-10-11</t>
  </si>
  <si>
    <t xml:space="preserve">Виводи по точках з кінцевим елементом</t>
  </si>
  <si>
    <t xml:space="preserve">Наші 750 близько до медіани. remonthub дає 1650 грн за точку, але це вода й каналізація разом до приладу, тобто інша одиниця. liv-comfort 2500 за точку (комплекс), не порівнюється.</t>
  </si>
  <si>
    <t xml:space="preserve">https://www.rabotniki.ua/uk/santehnicheskie-raboty/kiev · Точка холодної води 500/794/1150; точка гарячої води 450/790/1150 грн/шт · Київ · 2026
https://www.rabotniki.ua/uk/santehnicheskie-raboty/lvov · Точка холодної/гарячої води 550/783/1100 грн/шт · Львів · 2026
https://bud.arsel.com.ua/tsiny-na-budivelni-roboty/ · Точка холодної води 610 грн/шт; точка гарячої води 610 грн/шт · Київ · 2026-01
https://santehprofi.kyiv.ua/tsiny/ · розведення труб водопостачання від 500 за точку · Київ · 2025-10-11</t>
  </si>
  <si>
    <t xml:space="preserve">Врізка в стояк каналізації</t>
  </si>
  <si>
    <t xml:space="preserve">https://www.rabotniki.ua/uk/santehnicheskie-raboty/kiev · Врізка в каналізаційний стояк 1000/1471/2000 грн/шт · Київ · 2026
https://www.rabotniki.ua/uk/santehnicheskie-raboty/lvov · 1000/1490/2000 грн/шт · Львів · 2026
https://bud.arsel.com.ua/tsiny-na-budivelni-roboty/ · Врізання в каналізаційний стояк 1305 грн/шт · Київ · 2026-01</t>
  </si>
  <si>
    <t xml:space="preserve">Герметизація ванни силіконом</t>
  </si>
  <si>
    <t xml:space="preserve">https://www.rabotniki.ua/uk/santehnicheskie-raboty/kiev · Забивання швів ванни або піддону 120/199/250 грн/м.п. · Київ · 2026
https://www.rabotniki.ua/uk/santehnicheskie-raboty/lvov · 120/194/250 · Львів · 2026
https://bud.arsel.com.ua/tsiny-na-budivelni-roboty/ · 175 · Київ · 2026-01</t>
  </si>
  <si>
    <t xml:space="preserve">Демонтаж ванни</t>
  </si>
  <si>
    <t xml:space="preserve">Ціна на нижній межі. Чавунну ванну на ринку демонтують за 1000+.</t>
  </si>
  <si>
    <t xml:space="preserve">https://www.rabotniki.ua/uk/santehnicheskie-raboty/kiev · Демонтаж ванни 430/657/1100 грн/шт · Київ · 2026
https://www.rabotniki.ua/uk/santehnicheskie-raboty/lvov · 600/817/1050 · Львів · 2026
https://bud.arsel.com.ua/tsiny-na-budivelni-roboty/ · 610 · Київ · 2026-01
https://rbk-alba.com/ua/price · Акрилова 800, сталева 900, чавунна 1000 грн/шт · Київ · 2026-10-19</t>
  </si>
  <si>
    <t xml:space="preserve">Демонтаж старих труб</t>
  </si>
  <si>
    <t xml:space="preserve">https://www.rabotniki.ua/uk/santehnicheskie-raboty/kiev · Демонтаж сталевих труб х/г води 70/113/150 грн/м.п. · Київ · 2026
https://www.rabotniki.ua/uk/santehnicheskie-raboty/lvov · 70/107/150 · Львів · 2026
https://bud.arsel.com.ua/tsiny-na-budivelni-roboty/ · 85 грн/м.п. · Київ · 2026-01
https://rbk-alba.com/ua/price · Метал 100, металопластик 60 грн/м.п. · Київ · 2026-10-19</t>
  </si>
  <si>
    <t xml:space="preserve">Заміна стояка водопостачання (ХВП/ГВП) в межах квартири</t>
  </si>
  <si>
    <t xml:space="preserve">Трохи нижче за медіану, але в межах діапазону.</t>
  </si>
  <si>
    <t xml:space="preserve">https://www.rabotniki.ua/uk/santehnicheskie-raboty/kiev · Облаштування стояків 2000/3356/4400 грн/шт · Київ · 2026
https://www.rabotniki.ua/uk/santehnicheskie-raboty/lvov · Облаштування стояків 2000/3409/4500 грн/шт · Львів · 2026
https://bud.arsel.com.ua/tsiny-na-budivelni-roboty/ · Заміна стояків 2175 грн/шт · Київ · 2026-01
https://santehprofi.kyiv.ua/tsiny/ · заміна стояка водопостачання від 3500 · Київ · 2025-10-11</t>
  </si>
  <si>
    <t xml:space="preserve">Монтаж (заміна) стояка каналізації (пластиковий на пластиковий) з проходом через одну панель</t>
  </si>
  <si>
    <t xml:space="preserve">Варіант «пластик на пластик» за 3000 лежить на нижній межі, що логічно. «Чавун на пластик» 3700/4000 близько до медіани ≈3950, теж ok.</t>
  </si>
  <si>
    <t xml:space="preserve">https://www.rabotniki.ua/uk/santehnicheskie-raboty/kiev · Заміна стояка каналізації в межах 1 поверху 3000/4533/6800 грн/шт · Київ · 2026
https://www.rabotniki.ua/uk/santehnicheskie-raboty/lvov · 3000/4167/5000 грн/шт · Львів · 2026
https://bud.arsel.com.ua/tsiny-na-budivelni-roboty/ · Заміна стояка каналізації в межах 1 поверху 3900 грн/шт · Київ · 2026-01
https://kabanchik.ua/ua/kyiv/category/santekhnik · Заміна каналізаційного стояка 2620 грн (Вартість послуг) · Київ · 2026-10
https://kabanchik.ua/ua/lviv/category/santekhnik · Заміна каналізаційного стояка 4000 грн (Вартість послуг) · Львів · 2026-10
https://liv-comfort.kyiv.ua/price-remont/index.html · Демонтаж/монтаж стояків каналізації: пластик 2550, чавун 3500 грн/шт · Київ · 2026</t>
  </si>
  <si>
    <t xml:space="preserve">Монтаж гігієнічного душу</t>
  </si>
  <si>
    <t xml:space="preserve">https://www.rabotniki.ua/uk/santehnicheskie-raboty/kiev · 1000/1520/2000 грн/шт · Київ · 2026
https://www.rabotniki.ua/uk/santehnicheskie-raboty/lvov · 1000/1489/2050 грн/шт · Львів · 2026
https://bud.arsel.com.ua/tsiny-na-budivelni-roboty/ · 1265 грн/шт · Київ · 2026-01
https://budver.com/masters/santehnichni-roboti · від 1100 · Україна · 2026</t>
  </si>
  <si>
    <t xml:space="preserve">Монтаж зливного трапа для душу</t>
  </si>
  <si>
    <t xml:space="preserve">«Монтаж лінійного душового каналу» 1600 має той самий порядок.</t>
  </si>
  <si>
    <t xml:space="preserve">https://www.rabotniki.ua/uk/santehnicheskie-raboty/kiev · Монтаж трапа 900/1547/2200 грн/шт · Київ · 2026
https://www.rabotniki.ua/uk/santehnicheskie-raboty/lvov · 900/1518/2200 грн/шт · Львів · 2026
https://bud.arsel.com.ua/tsiny-na-budivelni-roboty/ · Монтаж трапу 1305 грн/шт · Київ · 2026-01
https://santehprofi.kyiv.ua/tsiny/ · Монтаж трапа для душу від 1400 · Київ · 2025-10-11</t>
  </si>
  <si>
    <t xml:space="preserve">Монтаж циркуляційного насоса (ГВП, опалення)</t>
  </si>
  <si>
    <t xml:space="preserve">https://www.rabotniki.ua/uk/sistemy-otopleniya/kiev · Монтаж насоса 800/1012/1300 грн/шт · Київ · 2026
https://www.rabotniki.ua/uk/sistemy-otopleniya/lvov · 800/1062/1500 грн/шт · Львів · 2026</t>
  </si>
  <si>
    <t xml:space="preserve">Обв'язка радіатора один радіатор 2 точки</t>
  </si>
  <si>
    <t xml:space="preserve">Назва неоднозначна: «один радіатор 2 точки» при одиниці «точка». Якщо 750 береться за точку, обв'язка радіатора коштує 1500, що відповідає ринку за підведення. Якщо за радіатор, це нижня межа. Назву варто уточнити.</t>
  </si>
  <si>
    <t xml:space="preserve">https://www.rabotniki.ua/uk/sistemy-otopleniya/kiev · Підключення батареї 500/638/850 грн/шт · Київ · 2026
https://www.rabotniki.ua/uk/sistemy-otopleniya · Підключення батареї 500/816/1200 грн/шт · Україна · 2026
https://rbk-alba.com/ua/price · Підключення радіатора 2000 грн/шт; виводи труб під радіатори 2500 грн/к-т · Київ · 2026-10-19
https://kabanchik.ua/ua/kyiv/category/santekhnik · Заміна батарей опалення 2130 грн за точку (Вартість послуг) · Київ · 2026-10</t>
  </si>
  <si>
    <t xml:space="preserve">Промивка системи опалення</t>
  </si>
  <si>
    <t xml:space="preserve">Близько до нижньої межі; можна підняти до 2000.</t>
  </si>
  <si>
    <t xml:space="preserve">https://www.rabotniki.ua/uk/sistemy-otopleniya/kiev · Промивання системи опалення 1700/2055/2420 · Київ · 2026
https://www.rabotniki.ua/uk/sistemy-otopleniya/lvov · 1700/2244/3000 · Львів · 2026</t>
  </si>
  <si>
    <t xml:space="preserve">Установка біде</t>
  </si>
  <si>
    <t xml:space="preserve">https://www.rabotniki.ua/uk/santehnicheskie-raboty/kiev · Установка унітазу або біде 950/1564/2200 грн/шт · Київ · 2026
https://bud.arsel.com.ua/tsiny-na-budivelni-roboty/ · Монтаж біде 1090 грн/шт; біде на навісній консолі 1250 · Київ · 2026-01
https://santehprofi.kyiv.ua/tsiny/ · установка біде від 900 / від 1400 · Київ · 2025-10-11
https://budver.com/masters/santehnichni-roboti · Встановлення біде від 935 · Україна · 2026</t>
  </si>
  <si>
    <t xml:space="preserve">Установка ванни простої</t>
  </si>
  <si>
    <t xml:space="preserve">Kabanchik Київ дає за акрилову ванну 1500, це нижня межа.</t>
  </si>
  <si>
    <t xml:space="preserve">https://www.rabotniki.ua/uk/santehnicheskie-raboty/kiev · Установка ванни (без змішувача) 2000/3236/4500 грн/шт · Київ · 2026
https://www.rabotniki.ua/uk/santehnicheskie-raboty/lvov · 2000/3047/5000 грн/шт · Львів · 2026
https://bud.arsel.com.ua/tsiny-na-budivelni-roboty/ · Встановлення ванни 2600 грн/шт · Київ · 2026-01
https://www.remonthub.org/prices.php · Ванна акрилова/сталева 2000, чавунна 2500 грн/шт · Київ · 2026
https://kabanchik.ua/ua/lviv/category/santekhnik · Установка акрилової ванни 2190 грн · Львів · 2026-10
https://liv-comfort.kyiv.ua/price-remont/index.html · Установка ванни, душ. 3000 грн/шт · Київ · 2026</t>
  </si>
  <si>
    <t xml:space="preserve">Установка змішувача простого</t>
  </si>
  <si>
    <t xml:space="preserve">https://www.rabotniki.ua/uk/santehnicheskie-raboty/kiev · Установка змішувача для ванни/умивальника/біде/душу 500/753/1100 грн/шт · Київ · 2026
https://www.rabotniki.ua/uk/santehnicheskie-raboty/lvov · 600/950/1200 грн/шт · Львів · 2026
https://bud.arsel.com.ua/tsiny-na-budivelni-roboty/ · Встановлення змішувача 695 грн/шт · Київ · 2026-01
https://www.remonthub.org/prices.php · Установка змішувача на раковину 450 грн/шт · Київ · 2026
https://santehprofi.kyiv.ua/tsiny/ · установка змішувача від 800 · Київ · 2025-10-11</t>
  </si>
  <si>
    <t xml:space="preserve">Установка кухонної мийки з підключенням</t>
  </si>
  <si>
    <t xml:space="preserve">Монтаж мийки в стільницю з вирізом отвору коштує дорожче (santehprofi від 2000).</t>
  </si>
  <si>
    <t xml:space="preserve">https://kabanchik.ua/ua/kyiv/category/santekhnik · Установка кухонної мийки 1010 грн (Вартість послуг) · Київ · 2026-10
https://kabanchik.ua/ua/lviv/category/santekhnik · Установка мийки 1140 грн (Вартість послуг) · Львів · 2026-10
https://www.rabotniki.ua/uk/santehnicheskie-raboty/kiev · Установка умивальника або мийки 600/892/1500 · Київ · 2026
https://bud.arsel.com.ua/tsiny-na-budivelni-roboty/ · Установка мийки 825 грн/шт · Київ · 2026-01</t>
  </si>
  <si>
    <t xml:space="preserve">Установка панельного (секційного) радіатора опалення</t>
  </si>
  <si>
    <t xml:space="preserve">Порівнювати треба разом з обв'язкою. У нас навішування 750 плюс обв'язка 2 точки × 750, тобто ≈2250 за радіатор. На ринку rabotniki дає 1359 + 638 ≈ 2000, Kabanchik за заміну радіатора 2130 за точку, rbk-alba за підключення 2000. Загалом ok.</t>
  </si>
  <si>
    <t xml:space="preserve">https://www.rabotniki.ua/uk/sistemy-otopleniya/kiev · Установка батареї опалення 870/1359/1800; підключення батареї 500/638/850 грн/шт · Київ · 2026
https://www.remonthub.org/prices.php · Установка радіатора опалення 800 грн/шт · Київ · 2026
https://liv-comfort.kyiv.ua/price-remont/index.html · Встановлення радіаторів 600 грн/шт · Київ · 2026
https://santehprofi.kyiv.ua/tsiny/ · встановлення батарей опалення від 550; монтаж радіаторів від 730 · Київ · 2025-10-11</t>
  </si>
  <si>
    <t xml:space="preserve">Установка сифона</t>
  </si>
  <si>
    <t xml:space="preserve">https://www.rabotniki.ua/uk/santehnicheskie-raboty/kiev · 300/539/800 грн/шт · Київ · 2026
https://www.rabotniki.ua/uk/santehnicheskie-raboty/lvov · 300/417/500 · Львів · 2026
https://bud.arsel.com.ua/tsiny-na-budivelni-roboty/ · 350 · Київ · 2026-01
https://kabanchik.ua/ua/kyiv/category/santekhnik · Установка сифона 700 грн (Вартість послуг) · Київ · 2026-10
https://kabanchik.ua/ua/lviv/category/santekhnik · 630 грн · Львів · 2026-10</t>
  </si>
  <si>
    <t xml:space="preserve">Установка та підключення бойлера непрямого нагріву</t>
  </si>
  <si>
    <t xml:space="preserve">Бойлер понад 300 л на ринку коштує 6500/7700/9000, його можна винести окремою позицією.</t>
  </si>
  <si>
    <t xml:space="preserve">https://www.rabotniki.ua/uk/sistemy-otopleniya/kiev · Бойлер непрямого нагріву до 300 л 2700/3840/4500 грн/шт · Київ · 2026
https://www.rabotniki.ua/uk/sistemy-otopleniya/lvov · 2700/4457/6500 грн/шт · Львів · 2026</t>
  </si>
  <si>
    <t xml:space="preserve">Установка та підключення електричного водонагрівача (бойлера)</t>
  </si>
  <si>
    <t xml:space="preserve">https://www.rabotniki.ua/uk/santehnicheskie-raboty/kiev · Установка і підключення бойлера 1200/2229/3200 грн/шт · Київ · 2026
https://www.rabotniki.ua/uk/santehnicheskie-raboty/lvov · 2000/2317/2950 грн/шт · Львів · 2026
https://bud.arsel.com.ua/tsiny-na-budivelni-roboty/ · 1740 грн/шт · Київ · 2026-01
https://kabanchik.ua/ua/kyiv/category/ustanovka-boilera · Установка бойлера 2510; з врізкою 4230 грн (Вартість послуг) · Київ · 2026-10
https://www.remonthub.org/prices.php · Накопичувальний водонагрівач до 100 л 1500 грн/шт · Київ · 2026
https://pricesua.com/rozcinky-santehnichni-roboty-ukrayina-2026/ · Київ: монтаж бойлера 3000–5000 грн · Україна · 2026-07-02</t>
  </si>
  <si>
    <t xml:space="preserve">Установка та підключення лічильника води простої складності</t>
  </si>
  <si>
    <t xml:space="preserve">Трохи вище за медіану, приблизно на 15%.</t>
  </si>
  <si>
    <t xml:space="preserve">https://www.rabotniki.ua/uk/santehnicheskie-raboty/kiev · Установка лічильника води 500/813/1350 грн/шт · Київ · 2026
https://www.rabotniki.ua/uk/santehnicheskie-raboty/lvov · 800/1000/1200 грн/шт · Львів · 2026
https://bud.arsel.com.ua/tsiny-na-budivelni-roboty/ · 655 грн/шт · Київ · 2026-01
https://kabanchik.ua/ua/kyiv/category/santekhnik · Установка лічильника води 710 грн (Вартість послуг) · Київ · 2026-10
https://kabanchik.ua/ua/lviv/category/santekhnik · 890 грн (Вартість послуг) · Львів · 2026-10
https://santehprofi.kyiv.ua/tsiny/ · встановлення лічильника від 1000 · Київ · 2025-10-11</t>
  </si>
  <si>
    <t xml:space="preserve">Установка та підключення рушникосушки</t>
  </si>
  <si>
    <t xml:space="preserve">https://www.rabotniki.ua/uk/santehnicheskie-raboty/kiev · Установка і підключення рушникосушки 900/1668/2500 грн/шт · Київ · 2026
https://www.rabotniki.ua/uk/santehnicheskie-raboty/lvov · 900/1563/2500 грн/шт · Львів · 2026
https://bud.arsel.com.ua/tsiny-na-budivelni-roboty/ · 1045 грн/шт · Київ · 2026-01
https://www.remonthub.org/prices.php · Без підведення трубопроводу 1200 грн/шт · Київ · 2026
https://santehprofi.kyiv.ua/tsiny/ · від 1800 · Київ · 2025-10-11</t>
  </si>
  <si>
    <t xml:space="preserve">Установка умивальника</t>
  </si>
  <si>
    <t xml:space="preserve">https://www.rabotniki.ua/uk/santehnicheskie-raboty/kiev · Установка умивальника або мийки 600/892/1500 грн/шт · Київ · 2026
https://www.rabotniki.ua/uk/santehnicheskie-raboty/lvov · 1000/1233/1400 грн/шт · Львів · 2026
https://bud.arsel.com.ua/tsiny-na-budivelni-roboty/ · Встановлення умивальника 825 грн/шт · Київ · 2026-01
https://www.remonthub.org/prices.php · Установка умивальника 1250 грн/шт · Київ · 2026
https://santehprofi.kyiv.ua/tsiny/ · встановлення умивальника від 1400–1800 · Київ · 2025-10-11</t>
  </si>
  <si>
    <t xml:space="preserve">Установка унітазу підлогового (компакт)</t>
  </si>
  <si>
    <t xml:space="preserve">https://www.rabotniki.ua/uk/santehnicheskie-raboty/kiev · Установка унітазу або біде 950/1564/2200 грн/шт · Київ · 2026
https://www.rabotniki.ua/uk/santehnicheskie-raboty/lvov · 1300/1433/1500 грн/шт · Львів · 2026
https://bud.arsel.com.ua/tsiny-na-budivelni-roboty/ · Установка унітазу 1085 грн/шт · Київ · 2026-01
https://www.remonthub.org/prices.php · Установка унітаза 1250 грн/шт · Київ · 2026
https://kabanchik.ua/ua/lviv/category/inshi-posluhy-santekhnika · Установка унітазу 1380 грн (Вартість послуг) · Львів · 2026-10
https://santehprofi.kyiv.ua/tsiny/ · установка унітазу від 1200; встановлення унітазу від 1500 · Київ · 2025-10-11</t>
  </si>
  <si>
    <t xml:space="preserve">Штроблення в бетоні (вода)</t>
  </si>
  <si>
    <t xml:space="preserve">Те саме стосується «Штроблення в бетоні» (Штроблення) та «Штроблення в бетоні (опалення)», обидві по 370.</t>
  </si>
  <si>
    <t xml:space="preserve">https://www.rabotniki.ua/uk/santehnicheskie-raboty/kiev · Штроблення під труби в бетоні, 5 см: 200/344/550 грн/м.п. · Київ · 2026
https://www.rabotniki.ua/uk/santehnicheskie-raboty/lvov · 200/337/550 грн/м.п. · Львів · 2026
https://bud.arsel.com.ua/tsiny-na-budivelni-roboty/ · 305 грн/м.п. · Київ · 2026-01
https://rbk-alba.com/ua/price · Штроблення (бетон), 5 см: 500 грн/м.п. · Київ · 2026-10-19
https://www.remonthub.org/prices.php · Штроблення під труби води Ø16–25 (бетон): 200 грн/м.п. · Київ · 2026</t>
  </si>
  <si>
    <t xml:space="preserve">Штроблення в цеглі, газобетоні</t>
  </si>
  <si>
    <t xml:space="preserve">Трохи вище за медіану. У каталозі три різні ціни на штробу в цеглі: 300 / 250 (опалення) / 150 (каналізація). Варто вирівняти до ~260.</t>
  </si>
  <si>
    <t xml:space="preserve">https://www.rabotniki.ua/uk/santehnicheskie-raboty/kiev · Штроблення в цеглі, 5 см: 160/269/400 грн/м.п. · Київ · 2026
https://www.rabotniki.ua/uk/santehnicheskie-raboty/lvov · 150/253/400 грн/м.п. · Львів · 2026
https://bud.arsel.com.ua/tsiny-na-budivelni-roboty/ · 220 грн/м.п. · Київ · 2026-01
https://rbk-alba.com/ua/price · Штроблення (цегла), 5 см: 350 грн/м.п. · Київ · 2026-10-19
https://www.remonthub.org/prices.php · Цегла, вода Ø16–25: 120; каналізація Ø32–50: 180 грн/м.п. · Київ · 2026</t>
  </si>
  <si>
    <t xml:space="preserve">Будівельник</t>
  </si>
  <si>
    <t xml:space="preserve">Бетонування фундаменту з міксера (приймання, вібрування)</t>
  </si>
  <si>
    <t xml:space="preserve">м³</t>
  </si>
  <si>
    <t xml:space="preserve">Ринок не має чистого 'приймання бетону у фундамент'; найближчі позиції в 3–4 рази дорожчі. Ймовірно занижено; безпечна ціна ≥1200–1500, але прямої медіани немає — ціну не пропоную.</t>
  </si>
  <si>
    <t xml:space="preserve">https://www.rabotniki.ua/uk/fundament/kiev · Бетонування ж/б пояса 'з міксера' 2000/2600/3400 грн/м³ · Київ · 2026-10
https://rbk-alba.com/ua/price · Укладання бетонної суміші, розчину 3500 ₴/м³ · Київ · 19.10.2026</t>
  </si>
  <si>
    <t xml:space="preserve">Вентильований фасад</t>
  </si>
  <si>
    <t xml:space="preserve">https://www.rabotniki.ua/uk/fasadnye-raboty/kiev · Вентильовані фасади 930/1166/1500 грн/м² · Київ · 2026-10
https://www.rabotniki.ua/uk/fasadnye-raboty/lvov · 930/1279/1700 грн/м² · Львів · 2026-10
https://bud.arsel.com.ua/tsiny-na-budivelni-roboty/ · Вентильований фасад від 700 грн/м² · Київ · 01.01.2026</t>
  </si>
  <si>
    <t xml:space="preserve">Влаштування відмостки бетонної</t>
  </si>
  <si>
    <t xml:space="preserve">https://www.rabotniki.ua/uk/betonnye-raboty/kiev · Заливка вимощення 600/665/700 грн/м² · Київ · 2026-10
https://rbk-alba.com/ua/price · Вимощення до 10 см (бетонування) 660 ₴/м² · Київ · 19.10.2026</t>
  </si>
  <si>
    <t xml:space="preserve">Влаштування монолітного перекриття (армування, бетонування)</t>
  </si>
  <si>
    <t xml:space="preserve">Наша ціна нижче ринкового мінімуму. Аналогічно 'Монолітні стіни' 2350/м³ (ринок 4100/5750/6900) та 'Виготовлення монолітних колон' 3050/м³ (ринок 5200/6683/8000; rbk-alba 8300).</t>
  </si>
  <si>
    <t xml:space="preserve">https://www.rabotniki.ua/uk/betonnye-raboty/kiev · Монолітне перекриття 4000/5700/6900 грн/м³; (за м²: 890/1130/1350) · Київ · 2026-10
https://rbk-alba.com/ua/price · Бетонування перекриттів 6500 ₴/м³ · Київ · 19.10.2026</t>
  </si>
  <si>
    <t xml:space="preserve">Влаштування фундаментної плити (армування, бетонування)</t>
  </si>
  <si>
    <t xml:space="preserve">Те саме стосується 'Облаштування фундаменту (приймання бетону арматура)' 4000/м³ → ~5000.</t>
  </si>
  <si>
    <t xml:space="preserve">https://www.rabotniki.ua/uk/fundament/kiev · Облаштування стрічкового фундаменту 3850/4770/6500 грн/м³ · Київ · 2026-10
https://rbk-alba.com/ua/price · Влаштування фундаментної плити 5300 ₴/м³; Стрічковий фундамент 5400 ₴/м³ · Київ · 19.10.2026</t>
  </si>
  <si>
    <t xml:space="preserve">Кладка стін з газоблоку або піноблоку 300 мм</t>
  </si>
  <si>
    <t xml:space="preserve">Основна позиція для стін; ринкова медіана ~2600–2650. Позиція 200 мм за 3000 — ок (тонша стіна дорожча за м³).</t>
  </si>
  <si>
    <t xml:space="preserve">https://www.rabotniki.ua/uk/kladochnye-raboty/kiev · Стіна з газоблоку або піноблоку 2000/2638/3500 грн/м³ (50 пропоз.) · Київ · 2026-10
https://www.rabotniki.ua/uk/kladochnye-raboty/lvov · 2000/2557/3500 грн/м³ (119 пропоз.) · Львів · 2026-10
https://rbk-alba.com/ua/price · Кладка газобетону (газоблок) 2900 ₴/м³ · Київ · 19.10.2026</t>
  </si>
  <si>
    <t xml:space="preserve">Кладка стін з шлакоблоку</t>
  </si>
  <si>
    <t xml:space="preserve">Наша ціна нижче ринкового мінімуму.</t>
  </si>
  <si>
    <t xml:space="preserve">https://www.rabotniki.ua/uk/kladochnye-raboty/kiev · Кладка стін з шлакоблоку 2000/2865/3500 грн/м³ · Київ · 2026-10
https://www.rabotniki.ua/uk/kladochnye-raboty/lvov · 2000/2694/3500 грн/м³ · Львів · 2026-10
https://rbk-alba.com/ua/price · Кладка шлакоблоку 2300 ₴/м³ · Київ · 19.10.2026</t>
  </si>
  <si>
    <t xml:space="preserve">Монтаж водостоків жолоб труба</t>
  </si>
  <si>
    <t xml:space="preserve">https://www.rabotniki.ua/uk/krovelnye-raboty/kiev · Монтаж зливової системи (труба, жолоб) 280/412/530 грн/м.п. · Київ · 2026-10
https://www.rabotniki.ua/uk/fasadnye-raboty/kiev · Монтаж водостоків на фасадах 200/317/420 грн/м.п. · Київ · 2026-10
https://pilo-material.kiev.ua/uk/pokrivelni-roboty-pid-klyuch/ · Монтаж водостічної системи 400 грн/пог. м · Київ · 10.10.2026</t>
  </si>
  <si>
    <t xml:space="preserve">Монтаж утеплювача на покрівлю до 100мм</t>
  </si>
  <si>
    <t xml:space="preserve">Усі 4 позиції утеплювача (покрівля/перекриття, до/понад 100 мм) мають однакові 135 — шаблон. Понад 100 мм → ~250.</t>
  </si>
  <si>
    <t xml:space="preserve">https://www.rabotniki.ua/uk/krovelnye-raboty/kiev · Утеплення покрівлі мін. ватою до 100 мм 160/188/210; більше 100 мм 200/275/360 грн/м² · Київ · 2026-10
https://pilo-material.kiev.ua/uk/pokrivelni-roboty-pid-klyuch/ · Утеплення покрівлі мінватою до 100 мм 160; понад 100 мм 230 грн/м² · Київ · 10.10.2026
https://rating-remont-kvartir.com.ua/ua/rozcinki-na-pokrivelni-roboti/ · Утеплення даху від 150 грн/м² · Україна · 11.09.2026</t>
  </si>
  <si>
    <t xml:space="preserve">Монтаж фальцевої покрівлі</t>
  </si>
  <si>
    <t xml:space="preserve">100 грн/м² — явна помилка (у 6 разів нижче ринку).</t>
  </si>
  <si>
    <t xml:space="preserve">https://www.rabotniki.ua/uk/krovelnye-raboty/kiev · Монтаж фальцевої покрівлі 530/612/670 грн/м² · Київ · 2026-10
https://rating-remont-kvartir.com.ua/ua/rozcinki-na-pokrivelni-roboti/ · Монтаж фальцевої покрівлі від 350 грн/м² · Україна · 11.09.2026
https://bud.arsel.com.ua/tsiny-na-budivelni-roboty/ · Фальцева покрівля від 900 грн/м² · Київ · 01.01.2026</t>
  </si>
  <si>
    <t xml:space="preserve">Облаштування ПВХ-мембрани покрівлі</t>
  </si>
  <si>
    <t xml:space="preserve">https://www.rabotniki.ua/uk/krovelnye-raboty/kiev · ПВХ мембрана по площині з мех. кріпленням 250/296/370; Монтаж ПХВ мембрани 280/380/460 грн/м² · Київ · 2026-10
https://rating-remont-kvartir.com.ua/ua/rozcinki-na-pokrivelni-roboti/ · Монтаж мембранної покрівлі від 320 грн/м² · Україна · 11.09.2026
https://bud.arsel.com.ua/tsiny-na-budivelni-roboty/ · Плоска ПВХ мембрана від 350 грн/м² · Київ · 01.01.2026</t>
  </si>
  <si>
    <t xml:space="preserve">Приготування гарцовки для тротуарної плитки</t>
  </si>
  <si>
    <t xml:space="preserve">Нижче ринкового мінімуму у 3 рази; те саме для 'Приготування бетону для тротуарної плитки' 250/м³ (rabotniki 700/1040/1250 → ~1000).</t>
  </si>
  <si>
    <t xml:space="preserve">https://www.rabotniki.ua/uk/trotuarnaya-plitka/kiev · Приготування гарцовки 750/880/1020 грн/м³ · Київ · 2026-10
https://pl2t.com/uk/shop/product/ukladanna-trotuarnoi-plitki/ · Приготування гарцовки для тротуарної плитки 950 грн/м³ · Київ · 06.07.2026</t>
  </si>
  <si>
    <t xml:space="preserve">Демонтаж</t>
  </si>
  <si>
    <t xml:space="preserve">Вирізання прорізу в бетонній стіні товщиною до 100 мм</t>
  </si>
  <si>
    <t xml:space="preserve">https://www.rabotniki.ua/uk/proemy-shtroby/kiev · Отвори в бетоні до 10 см 1350/1433/1500 грн/м²; 10–15 см 1850/1923/2020; 15–20 см 2400/2510/2680 · Київ · 2026-10
https://bud.arsel.com.ua/tsiny-na-budivelni-roboty/ · Отвори в бетоні (10–15 см) 1600 грн/м² · Київ · 01.01.2026</t>
  </si>
  <si>
    <t xml:space="preserve">Демонтаж вхідних дверей</t>
  </si>
  <si>
    <t xml:space="preserve">https://www.rabotniki.ua/uk/demontazh-okon-dverey/kiev · Демонтаж броньованих дверей 500/795/1020 грн/шт · Київ · 2026-10
https://bud.arsel.com.ua/tsiny-na-budivelni-roboty/ · Вхідні звичайні 500; броньовані 740 грн/шт · Київ · 01.01.2026
https://kabanchik.ua/ua/kyiv/category/demontazhni-roboty · Демонтаж металевого дверного блоку від 350 грн · Київ · 10.2026</t>
  </si>
  <si>
    <t xml:space="preserve">Демонтаж вікна балконного блоку</t>
  </si>
  <si>
    <t xml:space="preserve">'Демонтаж балконного блоку' 1100 — теж низько (rabotniki 2233) → ~2000.</t>
  </si>
  <si>
    <t xml:space="preserve">https://www.rabotniki.ua/uk/demontazh-okon-dverey/kiev · Демонтаж вікна 480/556/700 грн/шт; балконного блоку 1500/2233/2530 · Київ · 2026-10
https://bud.arsel.com.ua/tsiny-na-budivelni-roboty/ · Вікна 350 грн/шт · Київ · 01.01.2026
https://rbk-alba.com/ua/price · Демонтаж віконних блоків (дерев'яних) 450 ₴/шт · Київ · 19.10.2026
https://rating-remont-kvartir.com.ua/ua/rozcinki-na-demontazhni-roboti-kiiv/ · Демонтаж дверного/віконного блоку 300–600 грн/шт · Київ · 14.09.2026</t>
  </si>
  <si>
    <t xml:space="preserve">Демонтаж керамічної плитки з підлоги</t>
  </si>
  <si>
    <t xml:space="preserve">УВАГА: demontazh-pro.kiev.ua має рівно наші цифри (60/60/65/70/60/20/30) — ймовірне джерело каталогу, не враховано як незалежне.</t>
  </si>
  <si>
    <t xml:space="preserve">https://rbk-alba.com/ua/price · Демонтаж керамічної плитки з підлоги 300 ₴/м² · Київ · 19.10.2026
https://bud.arsel.com.ua/tsiny-na-budivelni-roboty/ · Демонтаж плитки 150 грн/м² · Київ · 01.01.2026
https://rating-remont-kvartir.com.ua/ua/rozcinki-na-demontazhni-roboti-kiiv/ · Демонтаж плитки з підлоги 100–150 грн/м² · Київ · 14.09.2026
https://kabanchik.ua/ua/kyiv/category/demontazhni-roboty · Демонтаж керамічної плитки (підлоги) від 100 грн/м² · Київ · 10.2026</t>
  </si>
  <si>
    <t xml:space="preserve">Демонтаж ламінату або паркету</t>
  </si>
  <si>
    <t xml:space="preserve">Аналогічно: лінолеум 20 → ~90 (rabotniki 109/96), шпалери 30 → ~75 (rabotniki 88/78), плінтус 30 → ~50 (rabotniki 55/49). УВАГА: demontazh-pro.kiev.ua має рівно наші цифри (60/60/65/70/60/20/30) — ймовірне джерело каталогу, не враховано як незалежне.</t>
  </si>
  <si>
    <t xml:space="preserve">https://www.rabotniki.ua/uk/demontazh-napolnyh-pokrytiy/kiev · Демонтаж ламінату 100/111/120; паркетної підлоги 150/166/200 грн/м² · Київ · 2026-10
https://www.rabotniki.ua/uk/demontazh-napolnyh-pokrytiy/lvov · Ламінат 80/115/160 · Львів · 2026-10
https://rbk-alba.com/ua/price · Демонтаж ламінату на основі 160 ₴/м² · Київ · 19.10.2026
https://rating-remont-kvartir.com.ua/ua/rozcinki-na-demontazhni-roboti-kiiv/ · Зняття ламінату 50–80 грн/м² · Київ · 14.09.2026
https://kabanchik.ua/ua/kyiv/category/demontazhni-roboty · Демонтаж ламінату від 55 грн/м² · Київ · 10.2026</t>
  </si>
  <si>
    <t xml:space="preserve">Демонтаж міжкімнатних дверей з коробкою</t>
  </si>
  <si>
    <t xml:space="preserve">https://www.rabotniki.ua/uk/demontazh-okon-dverey/kiev · Демонтаж дверного блоку міжкімнатного 460/490/500 грн/шт · Київ · 2026-10
https://bud.arsel.com.ua/tsiny-na-budivelni-roboty/ · Міжкімнатні двері 500 грн/шт · Київ · 01.01.2026
https://rating-remont-kvartir.com.ua/ua/rozcinki-na-demontazhni-roboti-kiiv/ · Демонтаж дверного/віконного блоку 300–600 грн/шт · Київ · 14.09.2026
https://kabanchik.ua/ua/kyiv/category/demontazhni-roboty · Демонтаж дерев'яного дверного блоку від 150 грн · Київ · 10.2026
https://demontazh-kyiv.com.ua/service/tsiny-na-demontazhni-roboty/ · Демонтаж дверних дерев'яних блоків від 216 грн/шт · Київ · н/д</t>
  </si>
  <si>
    <t xml:space="preserve">Демонтаж перегородки з гіпсокартону</t>
  </si>
  <si>
    <t xml:space="preserve">Обшивка стін ГКЛ (60) — аналогічно ~130.</t>
  </si>
  <si>
    <t xml:space="preserve">https://www.rabotniki.ua/uk/snos-sten-peregorodok/kiev · Демонтаж гіпсокартону 185/209/250 грн/м² · Київ · 2026-10
https://rbk-alba.com/ua/price · Демонтаж перегородок із ГКЛ 300 ₴/м² · Київ · 19.10.2026
https://bud.arsel.com.ua/tsiny-na-budivelni-roboty/ · Стіна з гіпсокартону 130 грн/м² · Київ · 01.01.2026
https://rating-remont-kvartir.com.ua/ua/rozcinki-na-demontazhni-roboti-kiiv/ · Демонтаж гіпсокартонних перегородок 100–160 грн/м² · Київ · 14.09.2026
https://kabanchik.ua/ua/kyiv/category/demontazhni-roboty · Демонтаж перегородок із гіпсокартону від 120 грн/м² · Київ · 10.2026</t>
  </si>
  <si>
    <t xml:space="preserve">Демонтаж перегородки з піноблоку або газоблоку</t>
  </si>
  <si>
    <t xml:space="preserve">https://www.rabotniki.ua/uk/snos-sten-peregorodok/kiev · Демонтаж стіни з ацеїду, гіпсоліту, ГКЛ 122/197/250 грн/м² · Київ · 2026-10
https://rbk-alba.com/ua/price · Демонтаж перегородок із цегли, газоблоку, піноблоку (7–15 см) 250 ₴/м² · Київ · 19.10.2026
https://bud.arsel.com.ua/tsiny-na-budivelni-roboty/ · Стіна з ацеїду 130 грн/м² · Київ · 01.01.2026
https://rating-remont-kvartir.com.ua/ua/rozcinki-na-demontazhni-roboti-kiiv/ · Демонтаж піноблочної перегородки 170–250 грн/м² · Київ · 14.09.2026</t>
  </si>
  <si>
    <t xml:space="preserve">Демонтаж перегородки з цегли в півцеглини (120 мм)</t>
  </si>
  <si>
    <t xml:space="preserve">https://www.rabotniki.ua/uk/snos-sten-peregorodok/kiev · Демонтаж цегляної перегородки в пів цегли 220/276/330 грн/м² · Київ · 2026-10
https://www.rabotniki.ua/uk/snos-sten-peregorodok/lvov · 150/237/330 грн/м² · Львів · 2026-10
https://rbk-alba.com/ua/price · Демонтаж перегородок із цегли, газоблоку… (7–15 см) 250 ₴/м² · Київ · 19.10.2026
https://bud.arsel.com.ua/tsiny-na-budivelni-roboty/ · Цегляна перегородка 0,5 цегли 160 грн/м² · Київ · 01.01.2026
https://rating-remont-kvartir.com.ua/ua/rozcinki-na-demontazhni-roboti-kiiv/ · Демонтаж цегляної перегородки 200–300 грн/м² · Київ · 14.09.2026
https://kabanchik.ua/ua/kyiv/category/demontazhni-roboty · Демонтаж цегляних перегородок (12см) від 150 грн/м² · Київ · 10.2026</t>
  </si>
  <si>
    <t xml:space="preserve">Демонтаж плитки зі стін</t>
  </si>
  <si>
    <t xml:space="preserve">Наша ціна нижче всіх незалежних джерел. УВАГА: demontazh-pro.kiev.ua має рівно наші цифри (60/60/65/70/60/20/30) — ймовірне джерело каталогу, не враховано як незалежне.</t>
  </si>
  <si>
    <t xml:space="preserve">https://www.rabotniki.ua/uk/demontazh-nastennyh-pokrytiy/kiev · Демонтаж плитки 175/221/300 грн/м² · Київ · 2026-10
https://www.rabotniki.ua/uk/demontazh-nastennyh-pokrytiy/lvov · 160/206/300 грн/м² · Львів · 2026-10
https://rbk-alba.com/ua/price · Демонтаж керамічної плитки зі стін 250 ₴/м² · Київ · 19.10.2026
https://bud.arsel.com.ua/tsiny-na-budivelni-roboty/ · Демонтаж плитки 150 грн/м² · Київ · 01.01.2026
https://kabanchik.ua/ua/kyiv/category/demontazhni-roboty · Демонтаж керамічної плитки (стіни) від 85 грн/м² · Київ · 10.2026</t>
  </si>
  <si>
    <t xml:space="preserve">Демонтаж підвіконня</t>
  </si>
  <si>
    <t xml:space="preserve">https://www.rabotniki.ua/uk/demontazh-okon-dverey/kiev · Демонтаж підвіконня, відливу 230/315/380 грн/шт · Київ · 2026-10
https://bud.arsel.com.ua/tsiny-na-budivelni-roboty/ · Підвіконня та відливи 275 грн/шт · Київ · 01.01.2026
https://rbk-alba.com/ua/price · Демонтаж підвіконь ПВХ 300 ₴/м.п.; бетонних 350 · Київ · 19.10.2026</t>
  </si>
  <si>
    <t xml:space="preserve">Демонтаж стяжки бетонної</t>
  </si>
  <si>
    <t xml:space="preserve">Варто розділити на до 5 см (~180) і до 10 см (~250). УВАГА: demontazh-pro.kiev.ua має рівно наші цифри (60/60/65/70/60/20/30) — ймовірне джерело каталогу, не враховано як незалежне.</t>
  </si>
  <si>
    <t xml:space="preserve">https://www.rabotniki.ua/uk/demontazh-napolnyh-pokrytiy/kiev · Демонтаж стяжки до 5 см 150/190/240; до 10 см 200/262/320 грн/м² · Київ · 2026-10
https://www.rabotniki.ua/uk/demontazh-napolnyh-pokrytiy/lvov · до 5 см 120/183/240; до 10 см 170/246/320 · Львів · 2026-10
https://rbk-alba.com/ua/price · Демонтаж стяжки до 5 см 250; 5–10 см 330 ₴/м² · Київ · 19.10.2026
https://bud.arsel.com.ua/tsiny-na-budivelni-roboty/ · Демонтаж стяжки до 5/10 см 175 грн/м² · Київ · 01.01.2026
https://rating-remont-kvartir.com.ua/ua/rozcinki-na-demontazhni-roboti-kiiv/ · Демонтаж цементної стяжки 130–200 грн/м² · Київ · 14.09.2026
https://www.remonthub.org/prices.php · Демонтаж стяжки від 200 грн/м² · Київ · 2026</t>
  </si>
  <si>
    <t xml:space="preserve">Демонтаж цегляної стіни в цеглину (250 мм)</t>
  </si>
  <si>
    <t xml:space="preserve">Перевірити й 'Демонтаж цегляної кладки' 400/м³ — за м³ це ~100/м² для 250 мм, теж занижено (ринок ~1500/м³).</t>
  </si>
  <si>
    <t xml:space="preserve">https://www.rabotniki.ua/uk/snos-sten-peregorodok/kiev · Демонтаж цегляної перегородки в 1 цеглу 350/430/500 грн/м² · Київ · 2026-10
https://www.rabotniki.ua/uk/snos-sten-peregorodok/lvov · 260/383/500 грн/м² · Львів · 2026-10
https://rbk-alba.com/ua/price · Демонтаж стіни … (ширина 1 цегла) 400 ₴/м² · Київ · 19.10.2026
https://bud.arsel.com.ua/tsiny-na-budivelni-roboty/ · Цегляна перегородка 1 цегла 245 грн/м² · Київ · 01.01.2026
https://kabanchik.ua/ua/kyiv/category/demontazhni-roboty · Демонтаж цегляних стін (цегла 25см) від 200 грн/м² · Київ · 10.2026</t>
  </si>
  <si>
    <t xml:space="preserve">Збивання штукатурки зі стін</t>
  </si>
  <si>
    <t xml:space="preserve">Ринок двомодальний (бюджетні 35–85 'від' vs 175–250); медіана ~175. 'Збивання штукатурки зі стелі' 90 → ~180 (rbk-alba 200). УВАГА: demontazh-pro.kiev.ua має рівно наші цифри (60/60/65/70/60/20/30) — ймовірне джерело каталогу, не враховано як незалежне.</t>
  </si>
  <si>
    <t xml:space="preserve">https://www.rabotniki.ua/uk/demontazh-nastennyh-pokrytiy/kiev · Демонтаж штукатурки 180/224/250 грн/м² · Київ · 2026-10
https://www.rabotniki.ua/uk/demontazh-nastennyh-pokrytiy/lvov · 120/204/250 грн/м² · Львів · 2026-10
https://rbk-alba.com/ua/price · Демонтаж штукатурки зі стіни 250 ₴/м² · Київ · 19.10.2026
https://bud.arsel.com.ua/tsiny-na-budivelni-roboty/ · Демонтаж штукатурки 175 грн/м² · Київ · 01.01.2026
https://kabanchik.ua/ua/kyiv/category/demontazhni-roboty · Демонтаж штукатурки від 85 грн/м² · Київ · 10.2026
https://rating-remont-kvartir.com.ua/ua/rozcinki-na-demontazhni-roboti-kiiv/ · Зняття штукатурки 35–60 грн/м² · Київ · 14.09.2026</t>
  </si>
  <si>
    <t xml:space="preserve">Розширення отвору під вхідні двері</t>
  </si>
  <si>
    <t xml:space="preserve">https://www.rabotniki.ua/uk/proemy-shtroby/kiev · Розширення отвору для вхідних дверей 1400/1967/2500 грн/шт · Київ · 2026-10
https://bud.arsel.com.ua/tsiny-na-budivelni-roboty/ · Розширення прорізів під вхідні двері 1740 грн/шт · Київ · 01.01.2026</t>
  </si>
  <si>
    <t xml:space="preserve">Метал</t>
  </si>
  <si>
    <t xml:space="preserve">Виготовлення металевого каркасу сходів (за сходинку)</t>
  </si>
  <si>
    <t xml:space="preserve">Прямої ціни 'робота за сходинку' не знайдено; частка роботи в готовому каркасі ~35–45% ⇒ ~1300–1650. Головне — внутрішня неузгодженість: METAL 'Виготовлення сходів на косоурах (за сходинку)' і BUILDER 'Зварювання каркасу сходів пряма сходинка' — 1350. Пропоную 1350.</t>
  </si>
  <si>
    <t xml:space="preserve">https://ibud.ua/ua/c2453-metallokarkasy-dlya-lestnits · Металокаркас для сходів 260 см, 13 сходинок 47600 грн/компл. (≈3660/сходинку з металом) · Київ · 10.2026
https://kabanchik.ua/ua/kyiv/tag/posluhy-z-vyhotovlennia-metalokonstruktsii · Сварка каркаса сходів 2720 грн (без одиниці) · Київ · 10.2026
https://rating-remont-kvartir.com.ua/ua/rozcinki-na-zvarjuvalni-roboti/ · Монтаж металевих сходів від 7000 грн/шт · Україна · 11.09.2026</t>
  </si>
  <si>
    <t xml:space="preserve">Виготовлення хвіртки металевої</t>
  </si>
  <si>
    <t xml:space="preserve">BUILDER-дубль 'Зварювання рами хвіртки (зварювання, монтаж, фарбування)' коштує 9000 — розбіжність у 2,5 раза.</t>
  </si>
  <si>
    <t xml:space="preserve">https://www.rabotniki.ua/uk/vorota-kalitki/kiev · Зварювання рами хвіртки і монтаж на петлі 2250/3850/4500 грн/м² (хвіртка ≈2 м²) · Київ · 2026-10
https://www.rabotniki.ua/uk/vorota-kalitki/lvov · 2250/3558/4500 грн/м² · Львів · 2026-10</t>
  </si>
  <si>
    <t xml:space="preserve">Зварювальні роботи (електродом)</t>
  </si>
  <si>
    <t xml:space="preserve">год</t>
  </si>
  <si>
    <t xml:space="preserve">Слабка база (одне спец. джерело 2023 р.), але ставка зварника не може дорівнювати ставці вантажника. Напівавтомат 500 / аргон 800 — пропорційно.</t>
  </si>
  <si>
    <t xml:space="preserve">https://duga.in.ua/ua/prajs2.html · Робочий день зварювальника (8 год) 4900 грн (≈612/год); 1 год 1200 грн (з приїздом) · Київ · 02.04.2023
https://www.rabotniki.ua/uk/vynos-musora/kiev · для порівняння: некваліфікований робітник 400/407/420 грн/год · Київ · 2026-10</t>
  </si>
  <si>
    <t xml:space="preserve">Монтаж воріт</t>
  </si>
  <si>
    <t xml:space="preserve">https://www.rabotniki.ua/uk/price/montazh-raspashnyh-vorot · Установка розпашних воріт 3500/5242/6450 грн/шт (на 21.09.2026) · Україна · 2026-10
https://www.rabotniki.ua/uk/price/montazh-otkatnyh-vorot · Монтаж відкатних воріт 4000/6114/8000 грн/шт (на 25.10.2026) · Україна · 2026-10</t>
  </si>
  <si>
    <t xml:space="preserve">Монтаж перил та огородження</t>
  </si>
  <si>
    <t xml:space="preserve">https://www.rabotniki.ua/uk/lestnitsy/kiev · Монтаж модульних перил з металу 700/1064/1250 грн/м.п. · Київ · 2026-10
https://www.rabotniki.ua/uk/lestnitsy/lvov · 555/1005/1200 грн/м.п. · Львів · 2026-10</t>
  </si>
  <si>
    <t xml:space="preserve">Армування фасаду сітка перетяжка</t>
  </si>
  <si>
    <t xml:space="preserve">Якщо 'перетяжка' означає 2-й шар шпаклівки — 290 прийнятно; без неї ринок ~230.</t>
  </si>
  <si>
    <t xml:space="preserve">https://www.rabotniki.ua/uk/fasadnye-raboty/kiev · Монтаж армосетки для фасаду 200/231/300 грн/м² · Київ · 2026-10
https://www.rabotniki.ua/uk/fasadnye-raboty/lvov · 140/228/300 грн/м² · Львів · 2026-10</t>
  </si>
  <si>
    <t xml:space="preserve">Укладання бітумної черепиці</t>
  </si>
  <si>
    <t xml:space="preserve">Наша ціна на рівні ринкового максимуму.</t>
  </si>
  <si>
    <t xml:space="preserve">https://www.rabotniki.ua/uk/krovelnye-raboty/kiev · Укладання бітумної черепиці 300/403/470 грн/м² · Київ · 2026-10
https://pilo-material.kiev.ua/uk/pokrivelni-roboty-pid-klyuch/ · Монтаж бітумної черепиці з доборними елементами 350 грн/м² · Київ · 10.10.2026
https://rating-remont-kvartir.com.ua/ua/rozcinki-na-pokrivelni-roboti/ · Монтаж бітумної черепиці від 280 грн/м² · Україна · 11.09.2026</t>
  </si>
  <si>
    <t xml:space="preserve">Вивезення сміття контейнером</t>
  </si>
  <si>
    <t xml:space="preserve">Для контейнера 8 м³; якщо мається на увазі 20–27 м³ — 4500 може бути ок. Вказати об'єм в описі.</t>
  </si>
  <si>
    <t xml:space="preserve">https://rating-remont-kvartir.com.ua/ua/rozcinki-na-demontazhni-roboti-kiiv/ · Вивіз будівельного сміття (контейнер 8 м³) 2000–3000 грн · Київ · 14.09.2026
https://demontazh-kyiv.com.ua/service/tsiny-na-demontazhni-roboty/ · Оренда контейнера 8 м³ (з вивозом) від 1875 грн/добу · Київ · н/д</t>
  </si>
  <si>
    <t xml:space="preserve">Демонтаж металоконструкцій</t>
  </si>
  <si>
    <t xml:space="preserve">кг</t>
  </si>
  <si>
    <t xml:space="preserve">Наша ціна у 3 рази вища за ринковий максимум.</t>
  </si>
  <si>
    <t xml:space="preserve">https://www.rabotniki.ua/uk/demontazh-metallokonstruktsiy/kiev · Демонтаж металоконструкцій 3100/3700/4000 грн/т · Київ · 2026-10
https://rating-remont-kvartir.com.ua/ua/rozcinki-na-zvarjuvalni-roboti/ · Демонтаж металоконструкцій від 1800 грн/т · Україна · 11.09.2026</t>
  </si>
  <si>
    <t xml:space="preserve">Монтаж стовпів для паркану</t>
  </si>
  <si>
    <t xml:space="preserve">BUILDER 'Установка дерев'яного або металевого стовпа' 350 — уніфікувати ~400.</t>
  </si>
  <si>
    <t xml:space="preserve">https://www.rabotniki.ua/uk/zabor-iz-profnastila/kiev · Установка металевого стовпа 250/412/600 грн/шт · Київ · 2026-10
https://www.rabotniki.ua/uk/zabor-iz-profnastila/lvov · 250/368/500 грн/шт · Львів · 2026-10</t>
  </si>
  <si>
    <t xml:space="preserve">Вантаження сміття в авто</t>
  </si>
  <si>
    <t xml:space="preserve">Пряма ціна за м³ лише одна ('від'); 200 — у нижній частині.</t>
  </si>
  <si>
    <t xml:space="preserve">https://demontazh-kyiv.com.ua/service/tsiny-na-demontazhni-roboty/ · Ручне навантаження сміття в контейнер від 156 грн/м³ · Київ · н/д
https://www.rabotniki.ua/uk/vyvoz-stroitelnogo-musora/kiev · Різниця 'з навантаженням' − 'без': Газель +1583, ЗІЛ +2270, КамАЗ 10т +4180 грн/машина (≈300–450 грн/м³) · Київ · 2026-10
https://rating-remont-kvartir.com.ua/ua/rozcinki-na-demontazhni-roboti-kiiv/ · Навантаження сміття вручну 250–400 грн/год · Київ · 14.09.2026</t>
  </si>
  <si>
    <t xml:space="preserve">Виготовлення розпашних воріт (каркас, зашивка)</t>
  </si>
  <si>
    <t xml:space="preserve">Джерела суперечать одне одному (за м² vs за шт, можливо з матеріалом). Відкатні 2500/м² — так само.</t>
  </si>
  <si>
    <t xml:space="preserve">https://www.rabotniki.ua/uk/vorota-kalitki/kiev · Зварювання рами розпашних воріт з монтажем на петлі 4180/6896/8500 грн/м² · Київ · 2026-10
https://www.rabotniki.ua/uk/vorota-kalitki/lvov · 4180/6047/8400 грн/м² · Львів · 2026-10
https://rating-remont-kvartir.com.ua/ua/rozcinki-na-zvarjuvalni-roboti/ · Виготовлення та зварювання воріт (розпашні) від 4000 грн/шт; відкатні від 6000 грн/шт · Україна · 11.09.2026
https://kabanchik.ua/ua/kyiv/tag/posluhy-z-vyhotovlennia-metalokonstruktsii · Сварка воріт 4040 грн (без одиниці) · Київ · 10.2026</t>
  </si>
  <si>
    <t xml:space="preserve">Монтаж металоконструкцій</t>
  </si>
  <si>
    <t xml:space="preserve">Єдине джерело показує 3,5–6 грн/кг — у 3–5 разів нижче нашого. Потрібне друге джерело перед зниженням.</t>
  </si>
  <si>
    <t xml:space="preserve">https://rating-remont-kvartir.com.ua/ua/rozcinki-na-zvarjuvalni-roboti/ · Монтаж простих металоконструкцій від 3500 грн/т; складних від 6000 грн/т · Україна · 11.09.2026</t>
  </si>
  <si>
    <t xml:space="preserve">Бетонування армопоясу з міксера</t>
  </si>
  <si>
    <t xml:space="preserve">Наша ціна відповідає комплексу (опалубка+армування+бетон). 'Вручну' 1200 і 'U-блоки' 1100 — теж у діапазоні.</t>
  </si>
  <si>
    <t xml:space="preserve">https://www.rabotniki.ua/uk/montazhnye-raboty-plity-fbs/kiev · Виготовлення та монтаж армопоясу 800/1020/1200 грн/м.п. · Київ · 2026-10
https://www.rabotniki.ua/uk/fundament/kiev · Бетонування ж/б пояса 'з міксера' 2000/2600/3400 грн/м³ (лише бетонування) · Київ · 2026-10</t>
  </si>
  <si>
    <t xml:space="preserve">Декоративна штукатурка фасаду короїд баранець</t>
  </si>
  <si>
    <t xml:space="preserve">https://www.rabotniki.ua/uk/fasadnye-raboty/kiev · Декоративна штукатурка фасаду 250/320/380 грн/м² · Київ · 2026-10
https://www.rabotniki.ua/uk/fasadnye-raboty/lvov · 200/309/400 грн/м² · Львів · 2026-10</t>
  </si>
  <si>
    <t xml:space="preserve">Кладка облицювальної цегли</t>
  </si>
  <si>
    <t xml:space="preserve">https://www.rabotniki.ua/uk/kladochnye-raboty/kiev · Кладка облицювальної цегли 1350/1836/2200 грн/м² · Київ · 2026-10
https://www.rabotniki.ua/uk/kladochnye-raboty/lvov · 1000/1805/2500 грн/м² · Львів · 2026-10
https://rbk-alba.com/ua/price · Кладка лицьової цегли 1800 ₴/м² · Київ · 19.10.2026</t>
  </si>
  <si>
    <t xml:space="preserve">Кладка перегородки з газоблоку (піноблоку) до 50 м²</t>
  </si>
  <si>
    <t xml:space="preserve">Ринок рахує перегородки за м³; перераховано на м². Пара 'від 50 м²' 370 — на нижній межі.</t>
  </si>
  <si>
    <t xml:space="preserve">https://www.rabotniki.ua/uk/kladochnye-raboty/kiev · Перегородка з газоблоку 3500/4703/6500 грн/м³ (=~470 грн/м² для 100 мм, ~700 для 150 мм) · Київ · 2026-10
https://www.rabotniki.ua/uk/kladochnye-raboty/lvov · 3500/4420/6500 грн/м³ · Львів · 2026-10</t>
  </si>
  <si>
    <t xml:space="preserve">Кладка перегородки з цегли в пів цегли (120 мм) до 50 м²</t>
  </si>
  <si>
    <t xml:space="preserve">Пара 'від 50 м²' 650 — теж у діапазоні.</t>
  </si>
  <si>
    <t xml:space="preserve">https://www.rabotniki.ua/uk/kladochnye-raboty/kiev · Перегородки в 1/2 цегли 640/797/1000 грн/м² · Київ · 2026-10
https://www.rabotniki.ua/uk/kladochnye-raboty/lvov · 500/729/1000 грн/м² · Львів · 2026-10
https://www.remonthub.org/prices.php · Кладка цегли з армуванням в пів цегли 800 грн/м² · Київ · 2026</t>
  </si>
  <si>
    <t xml:space="preserve">Кладка стін з газоблоку або піноблоку 200 мм</t>
  </si>
  <si>
    <t xml:space="preserve">Верх ринкової медіани, але виправдано для тоншого блоку.</t>
  </si>
  <si>
    <t xml:space="preserve">https://www.rabotniki.ua/uk/kladochnye-raboty/kiev · 2000/2638/3500 грн/м³ · Київ · 2026-10
https://rbk-alba.com/ua/price · Кладка газобетону 2900 ₴/м³ · Київ · 19.10.2026</t>
  </si>
  <si>
    <t xml:space="preserve">Кладка стін з рядової цегли в 1,5 цегли (380 мм)</t>
  </si>
  <si>
    <t xml:space="preserve">1 цегла (250 мм) за 4500 також у діапазоні.</t>
  </si>
  <si>
    <t xml:space="preserve">https://www.rabotniki.ua/uk/kladochnye-raboty/kiev · Стіна чорнова (≤380 шт/м³) 3340/4197/5300 грн/м³ · Київ · 2026-10
https://www.rabotniki.ua/uk/kladochnye-raboty/lvov · Стіна чорнова 2000/3989/5300 грн/м³ · Львів · 2026-10
https://rbk-alba.com/ua/price · Кладка чорнової цегли (одинарна) 3000 ₴/м³ · Київ · 19.10.2026</t>
  </si>
  <si>
    <t xml:space="preserve">Кладка стіни з керамоблока 38х60х20</t>
  </si>
  <si>
    <t xml:space="preserve">https://www.rabotniki.ua/uk/kladochnye-raboty/kiev · Кладка стіни з керамоблока 2000/3031/4000 грн/м³ · Київ · 2026-10
https://www.rabotniki.ua/uk/kladochnye-raboty/lvov · 2000/2904/4000 грн/м³ · Львів · 2026-10</t>
  </si>
  <si>
    <t xml:space="preserve">Монтаж бордюру для тротуарної плитки</t>
  </si>
  <si>
    <t xml:space="preserve">https://www.rabotniki.ua/uk/trotuarnaya-plitka/kiev · Монтаж бордюру для тротуарної плитки 150/255/330 грн/м.п. · Київ · 2026-10
https://pl2t.com/uk/shop/product/ukladanna-trotuarnoi-plitki/ · Встановлення бордюра садового (поребрика) 230 грн/м.п. · Київ · 06.07.2026</t>
  </si>
  <si>
    <t xml:space="preserve">Монтаж кроквяної системи</t>
  </si>
  <si>
    <t xml:space="preserve">https://www.rabotniki.ua/uk/krovelnye-raboty/kiev · Облаштування кроквяної конструкції 240/420/550 грн/м² · Київ · 2026-10
https://pilo-material.kiev.ua/uk/pokrivelni-roboty-pid-klyuch/ · Монтаж кроквяної системи 360 грн/м² · Київ · 10.10.2026
https://rating-remont-kvartir.com.ua/ua/rozcinki-na-pokrivelni-roboti/ · Монтаж стропильної системи від 220 грн/м² · Україна · 11.09.2026</t>
  </si>
  <si>
    <t xml:space="preserve">Укладання металочерепиці</t>
  </si>
  <si>
    <t xml:space="preserve">https://www.rabotniki.ua/uk/krovelnye-raboty/kiev · Укладання металочерепиці 200/311/430 грн/м² · Київ · 2026-10
https://pilo-material.kiev.ua/uk/pokrivelni-roboty-pid-klyuch/ · Монтаж металочерепиці з доборними елементами 290 грн/м² (лише робота) · Київ · 10.10.2026
https://rating-remont-kvartir.com.ua/ua/rozcinki-na-pokrivelni-roboti/ · Монтаж металочерепиці від 250 грн/м² · Україна · 11.09.2026</t>
  </si>
  <si>
    <t xml:space="preserve">Укладання тротуарної плитки на гарцовку</t>
  </si>
  <si>
    <t xml:space="preserve">Верхня половина діапазону — прийнятно.</t>
  </si>
  <si>
    <t xml:space="preserve">https://www.rabotniki.ua/uk/trotuarnaya-plitka/kiev · Укладання тротуарної плитки (проста) 300/461/590 грн/м² · Київ · 2026-10
https://pl2t.com/uk/shop/product/ukladanna-trotuarnoi-plitki/ · Укладка тротуарної плитки (1 колір) 400 грн/м²; колор-мікс 430 · Київ · 06.07.2026</t>
  </si>
  <si>
    <t xml:space="preserve">Утеплення фасада. Комплекс (пінопласт, сітка, перетяжка, декор. штукатурка)</t>
  </si>
  <si>
    <t xml:space="preserve">Вата-комплекс 1200 — допустимо (+20% за мінвату).</t>
  </si>
  <si>
    <t xml:space="preserve">https://www.rabotniki.ua/uk/fasadnye-raboty/kiev · Утеплення фасаду. Комплекс (сітка, утеплювач, короїд, фарбування) 650/961/1600 грн/м² · Київ · 2026-10
https://www.rabotniki.ua/uk/fasadnye-raboty/lvov · 600/938/1600 грн/м² · Львів · 2026-10
https://bud.arsel.com.ua/tsiny-na-budivelni-roboty/ · Штукатурний фасад з утепленням і оздобленням від 600 грн/м² · Київ · 01.01.2026</t>
  </si>
  <si>
    <t xml:space="preserve">Вивезення сміття автомобілем (рейс)</t>
  </si>
  <si>
    <t xml:space="preserve">Без навантаження. Варто уточнити тип авто в описі.</t>
  </si>
  <si>
    <t xml:space="preserve">https://www.rabotniki.ua/uk/vyvoz-stroitelnogo-musora/kiev · Газель 1,5 т без навантаження 1300/1767/2200; ЗІЛ 5 т 1800/2720/3500 грн/машина · Київ · 2026-10
https://demontazh-kyiv.com.ua/service/tsiny-na-demontazhni-roboty/ · Вивіз будівельного сміття (ЗІЛ/Газон) до 5 т від 1013 грн/рейс · Київ · н/д</t>
  </si>
  <si>
    <t xml:space="preserve">Фасування сміття в мішки</t>
  </si>
  <si>
    <t xml:space="preserve">Rabotniki — це вже винос за поверх (інша послуга); фасування 10–15 — ок.</t>
  </si>
  <si>
    <t xml:space="preserve">https://demontazh-kyiv.com.ua/service/tsiny-na-demontazhni-roboty/ · Фасування будівельного сміття в мішки від 10 грн/шт · Київ · н/д
https://www.rabotniki.ua/uk/vynos-musora/kiev · Винос легкого сміття (мішок за поверх) 30/32/35; важкого 50/53/60 грн/шт · Київ · 2026-10</t>
  </si>
  <si>
    <t xml:space="preserve">Виготовлення каркасу навісу</t>
  </si>
  <si>
    <t xml:space="preserve">https://rating-remont-kvartir.com.ua/ua/rozcinki-na-zvarjuvalni-roboti/ · Зварювання козирків, навісів від 850 грн/м² · Україна · 11.09.2026
https://www.ecowood.com.ua/ua/catalog/services/ustroystvo-terras-i-fasadov · Металокаркас із профільних труб 1800 грн/м² · Київ · н/д
https://www.rabotniki.ua/uk/markizy-navesy/kiev · Навіс з полікарбонату під ключ 1600/2325/3000 грн/м² (ймовірно з матеріалом) · Київ · 2026-10</t>
  </si>
  <si>
    <t xml:space="preserve">Виготовлення металоконструкцій</t>
  </si>
  <si>
    <t xml:space="preserve">Верхня частина діапазону; допустимо для дрібних виробів.</t>
  </si>
  <si>
    <t xml:space="preserve">https://www.rabotniki.ua/uk/price/svarka-metallokonstruktsiy/kiev · Зварювання металоконструкцій 22000/37820/60000 грн/т (на 29.09.2026) · Київ · 2026-10
https://www.rabotniki.ua/uk/svarochnye-raboty · Україна: 22000/34945/41500 грн/т · Україна · 2026-10
https://budver.com/zvaryuvalni-roboti · Зварювання металоконструкцій від 24200 грн/т · Україна · 2026</t>
  </si>
  <si>
    <t xml:space="preserve">Виготовлення решітки металевої</t>
  </si>
  <si>
    <t xml:space="preserve">Rabotniki-ціни, ймовірно, з металом; для 'тільки робота' 2000 — верхня межа.</t>
  </si>
  <si>
    <t xml:space="preserve">https://www.rabotniki.ua/uk/kovka-lite/kiev · Металева решітка 1900/2033/2200; кована проста 2550/2767/3000 грн/м² · Київ · 2026-10
https://rating-remont-kvartir.com.ua/ua/rozcinki-na-zvarjuvalni-roboti/ · Зварювання балконних огорож від 600 грн/м.п. (орієнтир) · Україна · 11.09.2026</t>
  </si>
  <si>
    <t xml:space="preserve">Монтаж покрівлі навісу з полікарбонату</t>
  </si>
  <si>
    <t xml:space="preserve">https://www.rabotniki.ua/uk/markizy-navesy/kiev · Монтаж полікарбонату 400/437/500 грн/м² · Київ · 2026-10
https://www.rabotniki.ua/uk/markizy-navesy/lvov · 250/465/700 грн/м² · Львів · 2026-10</t>
  </si>
  <si>
    <t xml:space="preserve">Монтаж профнастилу на паркан</t>
  </si>
  <si>
    <t xml:space="preserve">BUILDER-дубль тієї ж назви коштує 180 — уніфікувати ~260.</t>
  </si>
  <si>
    <t xml:space="preserve">https://www.rabotniki.ua/uk/zabor-iz-profnastila/kiev · Монтаж профнастилу на раму паркану 180/276/340 грн/м² · Київ · 2026-10
https://www.rabotniki.ua/uk/zabor-iz-profnastila/lvov · 180/257/400 грн/м² · Львів · 2026-10</t>
  </si>
  <si>
    <t xml:space="preserve">Фарбування металу</t>
  </si>
  <si>
    <t xml:space="preserve">https://rating-remont-kvartir.com.ua/ua/rozcinki-na-zvarjuvalni-roboti/ · Фарбування готових конструкцій від 80 грн/м² · Україна · 11.09.2026
https://www.rabotniki.ua/uk/zabor-iz-profnastila/kiev · Фарбування профнастилу паркану 120/187/240 грн/м² · Київ · 2026-10</t>
  </si>
  <si>
    <t xml:space="preserve">Що не так</t>
  </si>
  <si>
    <t xml:space="preserve">Коментар</t>
  </si>
  <si>
    <t xml:space="preserve">Затирання швів у декоративній плитці, мозаїці</t>
  </si>
  <si>
    <t xml:space="preserve">Ціна 0. Ринок: PK — затирка 180 + доплата за мозаїку 120 = 300 грн/м²; remmo — мозаїка 130 грн/м²; сусідня цементна затирка 116.</t>
  </si>
  <si>
    <t xml:space="preserve">Ціна 0 (див. checked: ринок ~1000–1100 грн/м²).</t>
  </si>
  <si>
    <t xml:space="preserve">Облицювання плиткою короба</t>
  </si>
  <si>
    <t xml:space="preserve">Ціна 0 і, ймовірно, неправильна одиниця: ринок рахує в м.п. (rabotniki 600/993/1500 грн/м.п.; budver від 660 грн/м.п.).</t>
  </si>
  <si>
    <t xml:space="preserve">Гідроізоляція плівкова</t>
  </si>
  <si>
    <t xml:space="preserve">Ціна 0. Ринок 60–64 грн/м² (rabotniki, arsel, stroyremdizayn).</t>
  </si>
  <si>
    <t xml:space="preserve">Гідроізоляція сухою сумішшю</t>
  </si>
  <si>
    <t xml:space="preserve">Ціна 0. stroyremdizayn 130 грн/м²; PK цементна 2 шари 264 грн/м²; сусідня мастика 174.</t>
  </si>
  <si>
    <t xml:space="preserve">Поклейка гідроізоляційних муфт на водорозетки</t>
  </si>
  <si>
    <t xml:space="preserve">Ціна 0. PK 360 грн/шт; сусідня позиція 'гідроізоляційні кути' 100 грн/шт.</t>
  </si>
  <si>
    <t xml:space="preserve">Монтаж трапу та формування ухилу до нього</t>
  </si>
  <si>
    <t xml:space="preserve">Ціна 0 для однієї з ключових позицій ванної. Публічних цін не знайшов; потрібне значення.</t>
  </si>
  <si>
    <t xml:space="preserve">Монтаж лінійного душового каналу</t>
  </si>
  <si>
    <t xml:space="preserve">Ціна 0 для ключової позиції. Потрібне значення (зазвичай дорожче за точковий трап).</t>
  </si>
  <si>
    <t xml:space="preserve">Влаштування деформаційних швів</t>
  </si>
  <si>
    <t xml:space="preserve">Ціна 0. PK: джгут 60 + герметизація 240 грн/м.п.</t>
  </si>
  <si>
    <t xml:space="preserve">Укладання плитки поверх теплої підлоги (плюс % до м.кв.)</t>
  </si>
  <si>
    <t xml:space="preserve">%</t>
  </si>
  <si>
    <t xml:space="preserve">0%. Тоді позиція нічого не додає: або видалити, або дати ненульову доплату.</t>
  </si>
  <si>
    <t xml:space="preserve">Укладання плитки ялинкою (плюс % до м.кв.)</t>
  </si>
  <si>
    <t xml:space="preserve">0%. PK: діагональ/ялинка від +15%; duflu: ялинка/діагональ у Києві 1100–1800 проти 800–1400 за пряму укладку (≈+30%). Сусідня діагональ +33%.</t>
  </si>
  <si>
    <t xml:space="preserve">Укладання плитки на шар клею більше 1 см</t>
  </si>
  <si>
    <t xml:space="preserve">Ціна 0 і одиниця M2 для того, що за змістом є доплатою. stroyremdizayn: +150 грн/м² за товщину понад 1 см; PK: вирівнювання клеєм до 10 мм 264 грн/м².</t>
  </si>
  <si>
    <t xml:space="preserve">Винесення та вивезення будівельного сміття</t>
  </si>
  <si>
    <t xml:space="preserve">TILING 0, а такий самий рядок у FLOORING — 600 грн/м³.</t>
  </si>
  <si>
    <t xml:space="preserve">Прибирання приміщення після робіт</t>
  </si>
  <si>
    <t xml:space="preserve">TILING 0, а такий самий рядок у FLOORING — 40 грн/м².</t>
  </si>
  <si>
    <t xml:space="preserve">Укриття плівкою підлоги, дверей, сантехніки</t>
  </si>
  <si>
    <t xml:space="preserve">Ціна 0. Сусідні позиції: картон 30, ДВП 70 грн/м².</t>
  </si>
  <si>
    <t xml:space="preserve">Виготовлення та монтаж кріплення для раковини (зварювання, фарбування)</t>
  </si>
  <si>
    <t xml:space="preserve">Ціна 0.</t>
  </si>
  <si>
    <t xml:space="preserve">Підняття матеріалу по сходах</t>
  </si>
  <si>
    <t xml:space="preserve">т</t>
  </si>
  <si>
    <t xml:space="preserve">Ціна 1642 за тонну не залежить від поверху, хоча сусідній рядок рахується за поверх (FLOOR). Ринок: вантажники ~10–25 ₴ за мішок за поверх.</t>
  </si>
  <si>
    <t xml:space="preserve">Розвантаження матеріалу</t>
  </si>
  <si>
    <t xml:space="preserve">PK: 750 ₴/т, наші 1271 ₴/т — помітно вище ринку.</t>
  </si>
  <si>
    <t xml:space="preserve">Формування кута з епоксидної суміші</t>
  </si>
  <si>
    <t xml:space="preserve">Одиниця M2 для лінійного елемента. PK: епоксидний зовнішній кут 360 грн/м.п.; plitka.ua: кут епоксидом 300 грн/м.п. Треба LINEAR_METER.</t>
  </si>
  <si>
    <t xml:space="preserve">Заміна силіконового шва (видалення старого, нанесення нового)</t>
  </si>
  <si>
    <t xml:space="preserve">180 грн/м.п. — близько до простого заповнення (130), а за ринком (rabotniki 215, PK 240) і нижче за нього. Заміна з видаленням має бути дорожчою.</t>
  </si>
  <si>
    <t xml:space="preserve">Сортування плитки та підбір малюнка</t>
  </si>
  <si>
    <t xml:space="preserve">247 грн/м² завищено: PK — підбір малюнка 60 грн/м² (сортування окремо, 360 грн/год); plitka.ua — підбір малюнка 80 грн/м².</t>
  </si>
  <si>
    <t xml:space="preserve">Різниться з FLOORING 'Цементно-піщана стяжка понад 20м2' (400) / 'до 20м2' (500) за ту саму роботу.</t>
  </si>
  <si>
    <t xml:space="preserve">392 проти 150 у FLOORING 'Шліфування бетонної основи' і 161 у 'Шліфування видалення слабкого шару'. Ринок ~226.</t>
  </si>
  <si>
    <t xml:space="preserve">Монтаж демпферної стрічки</t>
  </si>
  <si>
    <t xml:space="preserve">Одиниця M2 для стрічки: має бути LINEAR_METER (або прибрати, бо PK і mirafloor включають стрічку в ціну наливної).</t>
  </si>
  <si>
    <t xml:space="preserve">Приклеювання стиків в місцях порожків, герметизація силіконом</t>
  </si>
  <si>
    <t xml:space="preserve">Дубль позиції 'Приклеювання стиків порожків герметизація' (Плінтус, 212 грн/м.п.), але з одиницею PIECE і ціною 500.</t>
  </si>
  <si>
    <t xml:space="preserve">302 проти 130 у сусідньому 'Монтаж утеплювача'; ринок 130–200.</t>
  </si>
  <si>
    <t xml:space="preserve">134 грн/м² — вдвічі вище за ринок (60–64) і за 'пароізоляційну плівку під ламінат' (30).</t>
  </si>
  <si>
    <t xml:space="preserve">Дорівнює варіанту без клею (200); на клей має бути дорожче (stroyremdizayn 300, arsel 220).</t>
  </si>
  <si>
    <t xml:space="preserve">20 грн/м² — нереально низько (rbk-alba 250, kabanchik 130).</t>
  </si>
  <si>
    <t xml:space="preserve">Демонтаж плінтуса</t>
  </si>
  <si>
    <t xml:space="preserve">30 грн/м.п. — низько: rbk-alba 60 грн/м.п. (дерев'яний/пластиковий).</t>
  </si>
  <si>
    <t xml:space="preserve">400 грн/м.п. — удвічі більше за перехідний профіль (200); ринок ~210. Поріг зазвичай рахують за шт.</t>
  </si>
  <si>
    <t xml:space="preserve">Укладання плитки на відкос (плюс % до м.кв.)</t>
  </si>
  <si>
    <t xml:space="preserve">+88% вище за ринкові доплати: plitka.ua +60%; PK — відкос до 600 мм ×0.8 від ціни м² за м.п.; rabotniki — 834 грн/м.п. Варто перевірити.</t>
  </si>
  <si>
    <t xml:space="preserve">Штукатурка стін до 2см об'ємом до 50м2</t>
  </si>
  <si>
    <t xml:space="preserve">Надбавка за малий обсяг має робити ціну вищою за звичайну ручну (330), а тут нижче. Обидві товщини мають однакову ціну 280. Джерело-аналог (stroyremdizayn): 400 (до 2 см) і 430 (від 2 см).</t>
  </si>
  <si>
    <t xml:space="preserve">Штукатурка стін від 2см об'ємом до 50м2</t>
  </si>
  <si>
    <t xml:space="preserve">Те саме: нижче за звичайну ручну від 2 см (380) і дорівнює ціні до 2 см.</t>
  </si>
  <si>
    <t xml:space="preserve">Шпаклювання стелі</t>
  </si>
  <si>
    <t xml:space="preserve">Неоднозначна позиція поруч із 'Шпаклівка стелі під фарбування' (420) і 'під склополотно' (360). Якщо це повна підготовка, ціна нижче ринку (kabanchik 350, rabotniki Київ 530). Уточнити обсяг робіт або прибрати дубль.</t>
  </si>
  <si>
    <t xml:space="preserve">Акрилення примикань</t>
  </si>
  <si>
    <t xml:space="preserve">Та сама робота, що й 'Герметизація швів, стиків акрилом, спеціальною мастикою' (220), але ціни різняться вдвічі. Ринок (rabotniki): герметизація акрилом 80/143/200.</t>
  </si>
  <si>
    <t xml:space="preserve">Герметизація швів, стиків акрилом, спеціальною мастикою</t>
  </si>
  <si>
    <t xml:space="preserve">Дубль 'Акрилення примикань' (100) з іншою ціною; вище максимуму rabotniki (200).</t>
  </si>
  <si>
    <t xml:space="preserve">Відведення лінії фарби довкола вікон/дверей</t>
  </si>
  <si>
    <t xml:space="preserve">Імовірно, неправильна одиниця: лінію рахують у м.п. (пор. 'Розділення кольорів (скотч)' 85 грн/м.п.).</t>
  </si>
  <si>
    <t xml:space="preserve">Фарбування нашовної планки</t>
  </si>
  <si>
    <t xml:space="preserve">Дорожче за фарбування 1 м² вагонки (220) і вдвічі дорожче за монтаж цієї ж планки (120). Схоже на помилку.</t>
  </si>
  <si>
    <t xml:space="preserve">Обшивка стелі шалівкою</t>
  </si>
  <si>
    <t xml:space="preserve">Шалівка — те саме, що вагонка, але вагонка на стелю коштує 550, тобто в 7 разів дорожче. rabotniki: OSB/фанера на стелю 200/320/400.</t>
  </si>
  <si>
    <t xml:space="preserve">Стелі Грильято</t>
  </si>
  <si>
    <t xml:space="preserve">Абсурдно низько. rabotniki: Грильято 250/365/530.</t>
  </si>
  <si>
    <t xml:space="preserve">Підвісна стеля Армстронг</t>
  </si>
  <si>
    <t xml:space="preserve">Нижче мінімуму. rabotniki 200/334/450; remonthub від 180.</t>
  </si>
  <si>
    <t xml:space="preserve">Натяжна стеля</t>
  </si>
  <si>
    <t xml:space="preserve">Нижче мінімуму rabotniki (380/632/900). Ринкові ціни на натяжні стелі часто включають полотно, тому розрив може бути менший. До того ж це не малярна робота.</t>
  </si>
  <si>
    <t xml:space="preserve">Монтаж на стелю пластикової вагонки</t>
  </si>
  <si>
    <t xml:space="preserve">Дуже дешево порівняно з дерев'яною вагонкою на стелю (550) і обрешіткою (150).</t>
  </si>
  <si>
    <t xml:space="preserve">Зняття шпалер</t>
  </si>
  <si>
    <t xml:space="preserve">Нижче ринку: kabanchik 59 (стіни) / 63 (стеля), rbk-alba 100. Тільки vikna.tv дає 'від 10'.</t>
  </si>
  <si>
    <t xml:space="preserve">Змивання побілки зі стелі</t>
  </si>
  <si>
    <t xml:space="preserve">kabanchik: змивка побілки зі стелі 110; rbk-alba: змивання вапна/крейди/водоемульсійки 110.</t>
  </si>
  <si>
    <t xml:space="preserve">Нижче ринку: rbk-alba 300, budver від 165, bud.arsel 130 (демонтаж стін з ГК).</t>
  </si>
  <si>
    <t xml:space="preserve">Демонтаж гіпсокартонної стелі</t>
  </si>
  <si>
    <t xml:space="preserve">rbk-alba: демонтаж ГК стелі 200; budver: демонтаж ГКЛ від 165.</t>
  </si>
  <si>
    <t xml:space="preserve">Монтаж напівкруглої конструкції ГКЛ</t>
  </si>
  <si>
    <t xml:space="preserve">Дешевше за пряму перегородку (800) і радіусні перегородки (900/1000). rabotniki: напівкругла конструкція (стіни) 500/785/1000, Київ сер. 705.</t>
  </si>
  <si>
    <t xml:space="preserve">Монтаж відкосів з гіпсокартону на клей</t>
  </si>
  <si>
    <t xml:space="preserve">Дорівнює варіанту на профілях і на мінімумі ринку (rabotniki 230/393/650; remonthub 350).</t>
  </si>
  <si>
    <t xml:space="preserve">Утеплення укосів пінопластом</t>
  </si>
  <si>
    <t xml:space="preserve">Удвічі дорожче за утеплення укосів ватою (300), хоча на фасаді вата дорожча (500 проти 300 за пінопласт). Схоже, ціни переплутано.</t>
  </si>
  <si>
    <t xml:space="preserve">Шпаклювання стін (старт, за потреби) / Вирівнювання стін стартовою шпаклівкою по площині / Шпаклівка старт по цементній штукатурці</t>
  </si>
  <si>
    <t xml:space="preserve">Три майже однакові позиції стартової шпаклівки: 150, 170 і 200. Варто об'єднати або чітко розвести за обсягом робіт.</t>
  </si>
  <si>
    <t xml:space="preserve">Грунтування / Грунтування перед шпаклівкою / Грунтування основи перед штукатуркою</t>
  </si>
  <si>
    <t xml:space="preserve">Три ціни (33 / 50 / 35) за ту саму роботу (1 шар). Ринкова медіана ~40.</t>
  </si>
  <si>
    <t xml:space="preserve">Монтаж пароізоляційної мембрани</t>
  </si>
  <si>
    <t xml:space="preserve">У PAINTER 'Монтаж пароізоляційної або гідроізоляційної мембрани' коштує 200, тобто та сама робота має дві ціни в різних ремеслах.</t>
  </si>
  <si>
    <t xml:space="preserve">Організаційні послуги (11 позицій з ціною 0)</t>
  </si>
  <si>
    <t xml:space="preserve">Нулі навмисні («договірна»), це не помилка. Зверніть увагу: у DRYWALL ті самі послуги мають ціну (вивезення сміття 600 грн/м³, прибирання 40 грн/м²).</t>
  </si>
  <si>
    <t xml:space="preserve">Прокладка кабелю в металорукаві</t>
  </si>
  <si>
    <t xml:space="preserve">Удвічі-втричі дорожче за кабель у гофрі (65) і за ринок: гофра/ПВХ/металева труба 60 (РБК), гофротруба 61–83 (rabotniki), металорукав 65–75 (stroyremdizayn). Ціна 210 повторює помилкову «Прокладку кабелю».</t>
  </si>
  <si>
    <t xml:space="preserve">Отвір для розподільчої коробки в гіпсокартоні</t>
  </si>
  <si>
    <t xml:space="preserve">Стоїть стільки ж, скільки отвір у бетоні. Ринок за отвір разом із коробкою в ГКЛ: 125–220 (rabotniki 141/153, arsel 125, kabanchik 220). Отвір під підрозетник у ГКЛ у нас 90.</t>
  </si>
  <si>
    <t xml:space="preserve">Монтаж розподільчої коробки в стіну</t>
  </si>
  <si>
    <t xml:space="preserve">Разом з отвором (200) виходить 320 грн, а ринок за отвір і коробку дає 190 (цегла) і 250 (бетон). Посадка коробки в готовий отвір не має коштувати вдвічі більше, ніж підрозетник (60).</t>
  </si>
  <si>
    <t xml:space="preserve">Монтаж розподільчої коробки на стелю</t>
  </si>
  <si>
    <t xml:space="preserve">Те саме, що й для стіни. Стеля дорожча через висоту, але сума з отвором однаково завищена.</t>
  </si>
  <si>
    <t xml:space="preserve">Комутація в підрозетнику</t>
  </si>
  <si>
    <t xml:space="preserve">Дорожче за повну збірку розподільчої коробки з розпаюванням (380, ринок ~365). Якщо це з’єднання транзитних ліній у глибокому підрозетнику, ринкова логіка дає ~150–250. Варто уточнити зміст позиції.</t>
  </si>
  <si>
    <t xml:space="preserve">Прокладка закладної гофри в штробі для теплої підлоги</t>
  </si>
  <si>
    <t xml:space="preserve">Учетверо дорожче за «Прокладку закладної гофри» (50) і кабель у гофрі (65). Якщо штроблення не входить, ціна має бути ~60; якщо входить, назва має про це казати.</t>
  </si>
  <si>
    <t xml:space="preserve">Установка АВР</t>
  </si>
  <si>
    <t xml:space="preserve">Плутанина з «Підключенням АВР (автоввід резерву)» за 4000: та сама назва, ціни відрізняються вдесятеро. Схоже, тут мається на увазі модульний перемикач у щиті. Варто перейменувати (напр., «Установка модуля АВР/перемикача на DIN-рейку»).</t>
  </si>
  <si>
    <t xml:space="preserve">Установка автомата перекидного чотириполюсного</t>
  </si>
  <si>
    <t xml:space="preserve">Ampérage (Львів): перемикач аварійного живлення 4-полюсний 1200, 2-полюсний 600. Наш двополюсний 600 збігається, а чотириполюсний занижений.</t>
  </si>
  <si>
    <t xml:space="preserve">Установка реле перекидного чотириполюсного</t>
  </si>
  <si>
    <t xml:space="preserve">Майже дублює «Автомат перекидний чотириполюсний» (700) і «Рубильник реверсивний» (400), але ціни різні. Чотириполюсний перемикач у щиті коштує ~1000–1200 (Ampérage).</t>
  </si>
  <si>
    <t xml:space="preserve">Установка контактора 380В</t>
  </si>
  <si>
    <t xml:space="preserve">Стоїть стільки ж, скільки контактор 220 В. stroyremdizayn: 220 В — 440, 380 В — 600. Трифазний контактор складніший у підключенні.</t>
  </si>
  <si>
    <t xml:space="preserve">Одиниця POINT не підходить: ДБЖ ставлять поштучно (rabotniki пише «точка», але по суті це комплект). Ціна теж низька (ринок 8000–16570, середня ~12500).</t>
  </si>
  <si>
    <t xml:space="preserve">Установка та підключення дверного дзвінка бездротового</t>
  </si>
  <si>
    <t xml:space="preserve">Бездротовий дзвінок не потребує проводки, а коштує майже як дротовий (600). Kabanchik: бездротовий від 300.</t>
  </si>
  <si>
    <t xml:space="preserve">Установка маршрутизатора комутатора</t>
  </si>
  <si>
    <t xml:space="preserve">Нецілу ціну схоже перераховано (як і 147, 84, 88 в інших рядках). До того ж вона не узгоджується з «Налаштуванням Wi-Fi роутера» (200). Ampérage бере за налаштування роутера від 1500. Варто округлити й узгодити.</t>
  </si>
  <si>
    <t xml:space="preserve">Штроблення під прихований (вбудований) кабель-канал</t>
  </si>
  <si>
    <t xml:space="preserve">Дешевше за штробу 20х20 у цеглі (130) і в бетоні (220), хоча канал ширший. Матеріал не вказано.</t>
  </si>
  <si>
    <t xml:space="preserve">Свердління отвору під прокладку електрокабелю в капітальній стіні - від</t>
  </si>
  <si>
    <t xml:space="preserve">Частково дублює «Свердління наскрізних отворів (у бетоні) – від» за 160. Різниця виправдана хіба що товщиною стіни (санич: несуча стіна 400, зовнішня 550). Варто додати це в назву (напр., «стіна понад 30 см»).</t>
  </si>
  <si>
    <t xml:space="preserve">Перевірка спрацювання ПЗВ та вимірювання опору петлі фаза-нуль</t>
  </si>
  <si>
    <t xml:space="preserve">Порівняно з «Вимірюванням опору заземлювального пристрою» за 1250 співвідношення ціни 1:6 дивне: обидва заміри роблять тим самим приладом. Ринкових даних від майстрів немає.</t>
  </si>
  <si>
    <t xml:space="preserve">Монтаж котельної котел бойлер насоси крани фільтра</t>
  </si>
  <si>
    <t xml:space="preserve">Дублікат позиції «Монтаж котельної (котел, бойлер, насоси, крани, фільтра) - від» (20000), але з абсурдною ціною 825. На ринку обв'язка котельні до 40 кВт під ключ коштує 35–80 тис. (rabotniki). Позицію треба видалити.</t>
  </si>
  <si>
    <t xml:space="preserve">Монтаж насоса свердловини труби трос оголовок</t>
  </si>
  <si>
    <t xml:space="preserve">Абсурдно низько: поруч стоять «Підключення свердловинного насоса» 3000 і «Монтаж обладнання свердловини» 8500. На ринку глибинний насос до 40 м з облаштуванням коштує 5500/7820/10000 (rabotniki, водопостачання).</t>
  </si>
  <si>
    <t xml:space="preserve">Установка душової кабіни бокс</t>
  </si>
  <si>
    <t xml:space="preserve">Інверсія: бокс (гідробокс) у нас дешевший за просту кабіну (3000), хоча він складніший. На ринку кабіна коштує 3800–4000 (rabotniki, середнє); rimeik ставить гідробокс приблизно у 2× дорожче за кабіну.</t>
  </si>
  <si>
    <t xml:space="preserve">Монтаж вентиляційної решітки</t>
  </si>
  <si>
    <t xml:space="preserve">Абсурдно висока ціна за просту решітку, до того ж вища за «Установка та підключення вентилятора» (425). Ймовірно, ціна зсунулася з іншого рядка. Позиція також не належить до сантехніки.</t>
  </si>
  <si>
    <t xml:space="preserve">Монтаж панелі з клавішами змиву</t>
  </si>
  <si>
    <t xml:space="preserve">Завищено: santehprofi бере за встановлення кнопки інсталяції від 500. На ринку унітаз на консолі з кнопкою коштує 1750–1840 разом.</t>
  </si>
  <si>
    <t xml:space="preserve">Монтаж металевого сифона</t>
  </si>
  <si>
    <t xml:space="preserve">Вдвічі дорожче за «Установка сифона» (500) і вище за ринковий максимум для сифона, 800 (rabotniki).</t>
  </si>
  <si>
    <t xml:space="preserve">Монтаж гасника гідроудару (гідрокомпенсатора)</t>
  </si>
  <si>
    <t xml:space="preserve">Гасник вкручується як фітинг. Тим часом редуктор тиску у нас коштує 500, зворотний клапан 300, кульовий кран 300. Ринкових даних за саму позицію не знайшли; розумна ціна на рівні редуктора (~800).</t>
  </si>
  <si>
    <t xml:space="preserve">Установка скляних розсувних дверей</t>
  </si>
  <si>
    <t xml:space="preserve">Аномально низько порівняно з «Монтаж скляних шторок на ванну» (2000). rimeik дає за двері на ванну 500 і за двері кабіни 700 (слабке джерело).</t>
  </si>
  <si>
    <t xml:space="preserve">Монтаж системи від протікання води</t>
  </si>
  <si>
    <t xml:space="preserve">Схоже, ціна занижена: liv-comfort бере за систему «Аквастоп» 2300 за комплект. У нашому комплекті 2 крани з приводом, контролер і датчики, тоді як один кран коштує 250–400.</t>
  </si>
  <si>
    <t xml:space="preserve">Запуск системи водопроводу</t>
  </si>
  <si>
    <t xml:space="preserve">Дорівнює «Запуск системи опалення» (1800). Запуск водопроводу простіший: на ринку опалення запускають за 1400/1743/2500, окремої ринкової позиції для водопроводу немає. Ймовірно, завищено.</t>
  </si>
  <si>
    <t xml:space="preserve">Помилкова одиниця: має бути PIECE. Також ціна нижче за ринок 950–1000 (див. checked).</t>
  </si>
  <si>
    <t xml:space="preserve">Установка фільтра питної води під мийку</t>
  </si>
  <si>
    <t xml:space="preserve">Помилкова одиниця: має бути PIECE. Порівняти можна з осмосом (1500–1600) і фільтром для води Kabanchik (2100), тож 850 для простого 3-ступеневого фільтра прийнятні.</t>
  </si>
  <si>
    <t xml:space="preserve">Штроблення в газобетоні цеглі (каналізація)</t>
  </si>
  <si>
    <t xml:space="preserve">У каталозі чотири різні ціни на штробу в цеглі (300 / 250 / 150 / 150), а каналізаційна штроба дешевша за штробу під воду. Треба вирівняти: вода ≈260, каналізація ≈300.</t>
  </si>
  <si>
    <t xml:space="preserve">Штроблення в бетоні (каналізація)</t>
  </si>
  <si>
    <t xml:space="preserve">Дублікат «Штроблення під трубу 100мм в бетоні» (200), і обидва дешевші за штробу під воду в бетоні (370). На ринку каналізаційна штроба в бетоні коштує 350–500.</t>
  </si>
  <si>
    <t xml:space="preserve">Прокладання труб на хомутах (каналізація)</t>
  </si>
  <si>
    <t xml:space="preserve">Дублікат «Прокладка труб каналізації» (220) з тією самою ціною. Обидві вище за ринок (Ø50 ≈130–160, Ø110 ≈190).</t>
  </si>
  <si>
    <t xml:space="preserve">Установка УФ знезаражувача води</t>
  </si>
  <si>
    <t xml:space="preserve">Ціна не кругла (імпорт?). rabotniki по Україні дає 2500/3025/3500.</t>
  </si>
  <si>
    <t xml:space="preserve">Ціни не круглі (10056, 5190, 1281, 1203, 825), тобто явно імпортовані з шаблону. 1203 збігається з ціною змішувального вузла в santehprofi.kyiv.ua. Усі вони нижче за ринкові мінімуми (див. checked).</t>
  </si>
  <si>
    <t xml:space="preserve">Майже дублікат «Монтаж колектора гребінки» (Опалення, 1281), ціни різняться без причини. Обидві нижче за ринок ~2000.</t>
  </si>
  <si>
    <t xml:space="preserve">Неоднозначно: у назві «один радіатор 2 точки», а одиниця — точка. Треба явно вказати, за що ціна: за точку чи за радіатор.</t>
  </si>
  <si>
    <t xml:space="preserve">Установка штанги</t>
  </si>
  <si>
    <t xml:space="preserve">Незрозуміло, що це: душова штанга з лійкою (ринок 580/798/1150, rabotniki; arsel 870) чи штанга для шторки. Якщо душова, 300 занижено.</t>
  </si>
  <si>
    <t xml:space="preserve">Опломбування лічильника води</t>
  </si>
  <si>
    <t xml:space="preserve">У Києві та Львові пломбує водоканал. Майстер може хіба що організувати процес, тож назву варто змінити («Виклик/організація опломбування»).</t>
  </si>
  <si>
    <t xml:space="preserve">Прокладка труб в траншеї</t>
  </si>
  <si>
    <t xml:space="preserve">Удвічі дешевше за прокладання всередині приміщення (100–180). Прийнятно лише якщо траншею копають окремо, і це треба вказати в описі. santehprofi бере за прокладання водопроводу в землі від 1000/м.п. разом з копанням.</t>
  </si>
  <si>
    <t xml:space="preserve">Установка люка-ревізії простого</t>
  </si>
  <si>
    <t xml:space="preserve">budver дає за ревізійний люк від 1265. Перевірено лише одним джерелом, тож ціна, можливо, занижена.</t>
  </si>
  <si>
    <t xml:space="preserve">Монтаж витяжки (без відведення або до існуючого вентканала)</t>
  </si>
  <si>
    <t xml:space="preserve">Позиції «Монтаж вентиляції» (м.п.), «Витяжка», «Дзеркало», «Дверний доводчик», «Вентилятор» не належать до сантехніки і стоять у категорії «Сантехприлади». Їх краще перенести до загальних або електромонтажних робіт.</t>
  </si>
  <si>
    <t xml:space="preserve">Підйом будматеріалів на поверх</t>
  </si>
  <si>
    <t xml:space="preserve">263 грн 'за шт' без визначення одиниці. Ринок: 10 грн/мішок/поверх (gruzmen.kiev.ua), 25 грн/поверх/людина (bison-trans.com), +10 грн за поверх (ms-pro.kiev.ua), підйом негабариту 120–130 грн/поверх (rabotniki). Ймовірно мало бути за тонну/поверх або за поверх усього замовлення. Рекомендую одиницю 'мішок до 50 кг за поверх' ≈15 грн, або FLOOR із чітким описом.</t>
  </si>
  <si>
    <t xml:space="preserve">Не узгоджено з 'Виготовлення сходів на косоурах (за сходинку)' (1350) і BUILDER 'Зварювання каркасу сходів пряма/поворотна сходинка' (1350). Див. checked.</t>
  </si>
  <si>
    <t xml:space="preserve">Виготовлення терас веранд комплекс</t>
  </si>
  <si>
    <t xml:space="preserve">Аномально високо для 'тільки робота': монтаж терасної дошки 350/538/800 (rabotniki), металокаркас 1800/м² (ecowood), навіть 'Стандартна тераса' ecowood 5300/м² (схоже, з матеріалом). Майже напевно з матеріалами. Робота комплекс ≈ каркас + настил + опори ≈ 2500–3000.</t>
  </si>
  <si>
    <t xml:space="preserve">Навіс легкий / середній / максимальний комплекс (×3), Будівництво гаража комплекс, Хоз блок сарайчик комплекс</t>
  </si>
  <si>
    <t xml:space="preserve">П'ять різних 'комплексів' з однаковою ціною 630 — шаблонна заглушка; 'легкий' = 'максимальний' нелогічно. Ринок для навісу (тільки робота): каркас 850–1800 + покрівля 400–450 ⇒ ~1300–2200/м² (rating-remont, ecowood, rabotniki). Розставити градацію, напр. 1300/1700/2200; гараж/хозблок — окремо оцінити.</t>
  </si>
  <si>
    <t xml:space="preserve">Бетонні сходи пряма/поворотна сходинка (бетон вручну / з міксера) ×4, Бетонна площадка ×2</t>
  </si>
  <si>
    <t xml:space="preserve">Шість позицій з однаковою 1350 незалежно від типу і способу бетонування — заглушка. Rabotniki 'Монолітні ступені' 1350/2360/3200 грн/м.п. (≈за сходинку шириною ~1 м) ⇒ пряма ~2300, поворотна ~3000, вручну +15%. Площадка за шт без розміру — краще M2 або M3 (rbk-alba сходові марші 12800 грн/м³).</t>
  </si>
  <si>
    <t xml:space="preserve">Зварювання каркасу сходів пряма/поворотна сходинка, Зварювання площадки</t>
  </si>
  <si>
    <t xml:space="preserve">Однакова ціна для прямої і поворотної сходинки та площадки — заглушка. Поворотна має бути дорожча (~+30%), площадка — за м².</t>
  </si>
  <si>
    <t xml:space="preserve">Монтаж перемичок над прорізами</t>
  </si>
  <si>
    <t xml:space="preserve">Rabotniki: 500/544/620 грн/шт — наша у 2,5 раза вища (значення-заглушка 1350). А 'Облаштування перемичок бетонних' 300/м.п. навпаки занижено (rabotniki 500/946/1200).</t>
  </si>
  <si>
    <t xml:space="preserve">Облаштування водостічної воронки</t>
  </si>
  <si>
    <t xml:space="preserve">Rabotniki 650/828/1100 грн/шт — вище максимуму (заглушка 1350).</t>
  </si>
  <si>
    <t xml:space="preserve">Монтаж люка в тротуарну плитку</t>
  </si>
  <si>
    <t xml:space="preserve">Не аномалія: rabotniki 1100/1345/1750, pl2t 1200 — 1350 тут коректне.</t>
  </si>
  <si>
    <t xml:space="preserve">Викорчовування пнів / Спил дерева</t>
  </si>
  <si>
    <t xml:space="preserve">Однакова заглушка 1350. rbk-alba: корчівля пнів з утилізацією до 200 мм — 650 грн/шт. Ціна сильно залежить від діаметра — додати градацію (до 20/40/60 см).</t>
  </si>
  <si>
    <t xml:space="preserve">Встановлення замка / Виготовлення ручки на хвіртку</t>
  </si>
  <si>
    <t xml:space="preserve">Однакова заглушка 1350; врізання замка в хвіртку зазвичай дешевше, ніж виготовлення ручки. Також ці позиції в BUILDER/Зварювання дублюють METAL.</t>
  </si>
  <si>
    <t xml:space="preserve">Облаштування дверного пройому звуження розширення / Облаштування дверної пройми</t>
  </si>
  <si>
    <t xml:space="preserve">Однакова заглушка 1350 для двох різних робіт; дублюють DEMOLITION 'Розширення дверного прорізу' (225!) та 'Вирізка прорізу в цегляній стіні' (1000). Ринок розширення прорізу 1400–2500 (rabotniki), 1740 (arsel).</t>
  </si>
  <si>
    <t xml:space="preserve">Розширення дверного прорізу</t>
  </si>
  <si>
    <t xml:space="preserve">Сусідня позиція 'Розширення отвору під вхідні двері' 1000; ринок 1400/1967/2500 (rabotniki). 225 — абсурдно мало для різання стіни; можливо, мало бути за м.п. (demontazh-kyiv: розширення отвору в цеглі від 363 грн/м.п.).</t>
  </si>
  <si>
    <t xml:space="preserve">Доріжки з бетону з армуванням / Доріжок з бетону без армування</t>
  </si>
  <si>
    <t xml:space="preserve">Ціни переставлені: з армуванням 270 &lt; без армування 500. Rabotniki: з армуванням 490/584/700, без 389/462/600.</t>
  </si>
  <si>
    <t xml:space="preserve">Укладання армованої сітки для тротуарної плитки</t>
  </si>
  <si>
    <t xml:space="preserve">Rabotniki 70/87/100 грн/м.п. — наша в 2,5–3 рази вища.</t>
  </si>
  <si>
    <t xml:space="preserve">Установка тротуарного бордюру коло радіус</t>
  </si>
  <si>
    <t xml:space="preserve">Дешевше за прямий бордюр (280) — нелогічно. Rabotniki 244/451/600, pl2t радіальна установка 350.</t>
  </si>
  <si>
    <t xml:space="preserve">Приготування бетону для тротуарної плитки</t>
  </si>
  <si>
    <t xml:space="preserve">Rabotniki 700/1040/1250 грн/м³; також 'Приготування розчину для кладки' у нас 800/м³ і 'бетонного розчину для фундаменту' 1800/м³ — 250 випадає.</t>
  </si>
  <si>
    <t xml:space="preserve">Виготовлення монолітних колон / Монолітні стіни</t>
  </si>
  <si>
    <t xml:space="preserve">Колони 3050 (rabotniki 5200/6683/8000, rbk-alba 8300) і стіни 2350 (rabotniki 4100/5750/6900) — нижче ринкового мінімуму.</t>
  </si>
  <si>
    <t xml:space="preserve">Установка флюгера ковпака на димохід</t>
  </si>
  <si>
    <t xml:space="preserve">Rabotniki 930/1222/1800 грн/шт — у 6 разів нижче мінімуму.</t>
  </si>
  <si>
    <t xml:space="preserve">Монтаж маурлата</t>
  </si>
  <si>
    <t xml:space="preserve">Rabotniki 150/201/250; rating-remont від 200.</t>
  </si>
  <si>
    <t xml:space="preserve">Укладання підкладкового килима / Укладання шиферу або ондуліна</t>
  </si>
  <si>
    <t xml:space="preserve">Однакові 182 для різних робіт. Підкладковий килим rabotniki 80/105/130 (→110); шифер/ондулін 200/286/370 (→280).</t>
  </si>
  <si>
    <t xml:space="preserve">Монтаж утеплювача (покрівля/перекриття, до/понад 100 мм) ×4</t>
  </si>
  <si>
    <t xml:space="preserve">Чотири позиції однакові 135 незалежно від товщини. Ринок: до 100 мм ~170, понад 100 мм ~250 (rabotniki, pilo-material).</t>
  </si>
  <si>
    <t xml:space="preserve">Кладка стін з керамоблоку 380 мм на теплий розчин або клей-піну</t>
  </si>
  <si>
    <t xml:space="preserve">Одиниця M2 серед сусідніх M3; 750/м² при 0,38 м = 1970/м³ — нижче позиції 'керамоблок 38х60х20' 3000/м³. Уніфікувати одиницю або підняти до ~1100/м².</t>
  </si>
  <si>
    <t xml:space="preserve">Армування кладки (сіткою, арматурою) LINEAR_METER 90 / Армування кладки сіткою арматурою M2 50</t>
  </si>
  <si>
    <t xml:space="preserve">Дубль з різними одиницями; rabotniki армування кладки сіткою 90/101/120 грн/м² — M2-позиція 50 занижена.</t>
  </si>
  <si>
    <t xml:space="preserve">Анкерування однієї стіни до іншої</t>
  </si>
  <si>
    <t xml:space="preserve">Rabotniki 80/90/100 грн/анкер (Київ), 60/91/120 (Львів).</t>
  </si>
  <si>
    <t xml:space="preserve">Напилення пінополіуретану (утеплення) за м³ піни</t>
  </si>
  <si>
    <t xml:space="preserve">Дивна неокруглена ціна 11523 за м³ піни — схоже на ціну з матеріалом (компоненти ППУ). Ринок зазвичай рахує за м² при товщині (напр. 50 мм). Перевірити, чи це лише робота.</t>
  </si>
  <si>
    <t xml:space="preserve">Облицювання фасаду натуральним або штучним каменем</t>
  </si>
  <si>
    <t xml:space="preserve">Rabotniki: облицювання плоским каменем 740/923/1100, пісковиком 680/870/1000 грн/м². 250 — у 3–4 рази нижче. Клінкерна плитка 650 теж нижче (720/1074/1300).</t>
  </si>
  <si>
    <t xml:space="preserve">Монтаж будівельного риштування / Демонтаж риштування</t>
  </si>
  <si>
    <t xml:space="preserve">Rabotniki монтаж і демонтаж лісів 80/110/120 (Київ) — разом 100 ≈ ок; позиції ок як пара.</t>
  </si>
  <si>
    <t xml:space="preserve">Монтаж гвинтових паль</t>
  </si>
  <si>
    <t xml:space="preserve">Rabotniki 'Гвинтові палі (тільки робота)' 1600/1847/2000 грн/м.пог. — можливо, ринок має на увазі за палю; у будь-якому разі 240 дуже низько. Перевірити одиницю (ймовірно PIECE ~1800).</t>
  </si>
  <si>
    <t xml:space="preserve">Дубль METAL-позиції (250). Rabotniki 180/276/340. Уніфікувати.</t>
  </si>
  <si>
    <t xml:space="preserve">BUILDER/DEMOLITION/METAL</t>
  </si>
  <si>
    <t xml:space="preserve">Прибирання приміщення після робіт; Фасування сміття в мішки; Захист підлоги картоном</t>
  </si>
  <si>
    <t xml:space="preserve">Дублікати в кількох ремеслах з однаковими цінами — ок, якщо навмисно (для кожного ремесла), інакше прибрати.</t>
  </si>
  <si>
    <t xml:space="preserve">Не узгоджено з DEMOLITION 'Винесення будівельного сміття' 200/м³ + 'Вивезення автомобілем' 2000/рейс. Ринок виносу: 30–53 грн/мішок/поверх (rabotniki) ≈ 900–1500/м³ з поверху.</t>
  </si>
  <si>
    <t xml:space="preserve">Монтаж лобової вітрової конькової планки / Монтаж планок закінчення стикування</t>
  </si>
  <si>
    <t xml:space="preserve">Rabotniki лобова планка 90/148/190, планки закінчення 100/124/150 — наші 240 вищі за максимум (240 — повторювана заглушка ще в 8 позиціях паркану/фасаду).</t>
  </si>
  <si>
    <t xml:space="preserve">Кладка стовпів паркану під розшивку</t>
  </si>
  <si>
    <t xml:space="preserve">Rabotniki 'Кладка стовпів паркану' 3000/3783/5000 (Київ), 3000/3588/5000 (Львів) — нижче мінімуму.</t>
  </si>
  <si>
    <t xml:space="preserve">Монтаж ж/б плит перекриття / Монтаж блоків ФБС</t>
  </si>
  <si>
    <t xml:space="preserve">Не аномалія — rabotniki 600/842/1000 та 640/780/880; ок.</t>
  </si>
  <si>
    <t xml:space="preserve">Назва</t>
  </si>
  <si>
    <t xml:space="preserve">Ринковий діапазон</t>
  </si>
  <si>
    <t xml:space="preserve">Джерела</t>
  </si>
  <si>
    <t xml:space="preserve">Додати?</t>
  </si>
  <si>
    <t xml:space="preserve">Ціна для каталогу, ₴</t>
  </si>
  <si>
    <t xml:space="preserve">Монтаж електричної теплої підлоги (мат/кабель)</t>
  </si>
  <si>
    <t xml:space="preserve">250–350 грн/м² (remonthub: від 250; Львів 280–350)</t>
  </si>
  <si>
    <t xml:space="preserve">https://www.remonthub.org/prices.php
https://rating-remont-kvartir.com.ua/ua/rozcinki-na-roboti-z-pidlogami-lviv/</t>
  </si>
  <si>
    <t xml:space="preserve">Підключення теплої підлоги до терморегулятора</t>
  </si>
  <si>
    <t xml:space="preserve">~350 грн/шт</t>
  </si>
  <si>
    <t xml:space="preserve">https://www.remonthub.org/prices.php</t>
  </si>
  <si>
    <t xml:space="preserve">Облицювання кухонного фартуха плиткою</t>
  </si>
  <si>
    <t xml:space="preserve">700–1050 грн/м² (PK: ×1.1 від базової)</t>
  </si>
  <si>
    <t xml:space="preserve">https://liv-comfort.kyiv.ua/price-remont/index.html
https://remmo.lviv.ua/plytochni-roboty-lviv/
https://plitochnik.kiev.ua/ua/%D0%B2%D0%B0%D1%80%D1%82%D1%96%D1%81%D1%82%D1%8C-%D1%80%D0%BE%D0%B1%D1%96%D1%82-%D0%BF%D0%BB%D0%B8%D1%82%D0%BE%D1%87%D0%BD%D0%B8%D0%BA%D0%B0.html</t>
  </si>
  <si>
    <t xml:space="preserve">Облицювання відкосів/укосів плиткою (за м.п.)</t>
  </si>
  <si>
    <t xml:space="preserve">500–1300 грн/м.п. (rabotniki сер. 834; remonthub 500; remmo 650; budver від 528)</t>
  </si>
  <si>
    <t xml:space="preserve">https://www.rabotniki.ua/uk/plitochnye-raboty
https://www.remonthub.org/prices.php
https://remmo.lviv.ua/plytochni-roboty-lviv/
https://budver.com/masters/plitochni-roboti</t>
  </si>
  <si>
    <t xml:space="preserve">Демонтаж ламінату</t>
  </si>
  <si>
    <t xml:space="preserve">130–160 грн/м²</t>
  </si>
  <si>
    <t xml:space="preserve">https://rbk-alba.com/ua/price
https://kabanchik.ua/ua/kyiv/category/ukladannia-laminatu</t>
  </si>
  <si>
    <t xml:space="preserve">Демонтаж паркету / дерев'яної підлоги</t>
  </si>
  <si>
    <t xml:space="preserve">100–200 грн/м²</t>
  </si>
  <si>
    <t xml:space="preserve">https://rbk-alba.com/ua/price
https://rating-remont-kvartir.com.ua/ua/rozcinki-na-roboti-z-pidlogami-lviv/</t>
  </si>
  <si>
    <t xml:space="preserve">Демонтаж ПВХ-плитки / кварцвінілу</t>
  </si>
  <si>
    <t xml:space="preserve">~250 грн/м²</t>
  </si>
  <si>
    <t xml:space="preserve">https://rbk-alba.com/ua/price</t>
  </si>
  <si>
    <t xml:space="preserve">Демонтаж керамічного плінтуса</t>
  </si>
  <si>
    <t xml:space="preserve">~260 грн/м.п.</t>
  </si>
  <si>
    <t xml:space="preserve">Встановлення маяків для стяжки</t>
  </si>
  <si>
    <t xml:space="preserve">85–130 грн/м² (rabotniki 104/122/130; arsel 85)</t>
  </si>
  <si>
    <t xml:space="preserve">https://www.rabotniki.ua/uk/chernovye-raboty-po-polu/kiev
https://bud.arsel.com.ua/tsiny-na-budivelni-roboty/</t>
  </si>
  <si>
    <t xml:space="preserve">Стяжка з пінополістиролбетону</t>
  </si>
  <si>
    <t xml:space="preserve">305–500 грн/м² (rabotniki 390/448/500; arsel 305)</t>
  </si>
  <si>
    <t xml:space="preserve">Укладання кварцвінілу ялинкою</t>
  </si>
  <si>
    <t xml:space="preserve">~700 грн/м²</t>
  </si>
  <si>
    <t xml:space="preserve">https://parket-doska.com.ua/ukladannya-parketu-iz-zavodskoyu-obrobkoyu-malyunok-francuzka-rizka-ugorska-yalinka-na-styazhku/</t>
  </si>
  <si>
    <t xml:space="preserve">Радіусна (фігурна) підрізка ламінату</t>
  </si>
  <si>
    <t xml:space="preserve">~150 грн/м.п.</t>
  </si>
  <si>
    <t xml:space="preserve">Укладання ламінату на стіну/стелю (на клей)</t>
  </si>
  <si>
    <t xml:space="preserve">~530 грн/м²</t>
  </si>
  <si>
    <t xml:space="preserve">https://liv-comfort.kyiv.ua/price-remont/index.html</t>
  </si>
  <si>
    <t xml:space="preserve">Монтаж плінтуса поліуретанового (під фарбування)</t>
  </si>
  <si>
    <t xml:space="preserve">240–250 грн/м.п.</t>
  </si>
  <si>
    <t xml:space="preserve">https://bud.arsel.com.ua/tsiny-na-budivelni-roboty/
https://liv-comfort.kyiv.ua/price-remont/index.html</t>
  </si>
  <si>
    <t xml:space="preserve">Укладання плитки на стелю (доплата)</t>
  </si>
  <si>
    <t xml:space="preserve">+50% (PK ×1.5); зараз доплата за стелю є лише для великого формату</t>
  </si>
  <si>
    <t xml:space="preserve">https://plitochnik.kiev.ua/ua/%D0%B2%D0%B0%D1%80%D1%82%D1%96%D1%81%D1%82%D1%8C-%D1%80%D0%BE%D0%B1%D1%96%D1%82-%D0%BF%D0%BB%D0%B8%D1%82%D0%BE%D1%87%D0%BD%D0%B8%D0%BA%D0%B0.html</t>
  </si>
  <si>
    <t xml:space="preserve">Поклейка шпалер на стелю</t>
  </si>
  <si>
    <t xml:space="preserve">140–300, сер. ~240 (rabotniki); bud.arsel 195; kabanchik 230</t>
  </si>
  <si>
    <t xml:space="preserve">https://www.rabotniki.ua/uk/pokleyka-oboev
https://bud.arsel.com.ua/tsiny-na-budivelni-roboty/
https://kabanchik.ua/ua/kyiv/category/pokleika-shpaler</t>
  </si>
  <si>
    <t xml:space="preserve">Ручна штукатурка стелі (по маяках)</t>
  </si>
  <si>
    <t xml:space="preserve">Київ 300–500, сер. 409 (rabotniki: стартова, стеля під правило); liv-comfort 570</t>
  </si>
  <si>
    <t xml:space="preserve">https://www.rabotniki.ua/uk/shtukaturnye-raboty/kiev
https://liv-comfort.kyiv.ua/price-remont/index.html</t>
  </si>
  <si>
    <t xml:space="preserve">Машинне нанесення фінішної шпаклівки</t>
  </si>
  <si>
    <t xml:space="preserve">180–400, сер. 279 (Україна) / 317 (Київ); budver від 209</t>
  </si>
  <si>
    <t xml:space="preserve">https://www.rabotniki.ua/uk/shtukaturnye-raboty
https://budver.com/masters/shtukaturno-malyarni-roboti</t>
  </si>
  <si>
    <t xml:space="preserve">Штукатурка ніш під радіатори</t>
  </si>
  <si>
    <t xml:space="preserve">350–650, сер. 470 (rabotniki); budver від 385</t>
  </si>
  <si>
    <t xml:space="preserve">Монтаж маяків / розмітка площин (стеля)</t>
  </si>
  <si>
    <t xml:space="preserve">80–200, сер. 138 грн/м²; маяки на стіни 70–150 грн/шт (rabotniki); budver від 88</t>
  </si>
  <si>
    <t xml:space="preserve">Фактурна штукатурка на гіпсовій основі / «американка»</t>
  </si>
  <si>
    <t xml:space="preserve">250–600, сер. 412; «американка» 300–600, сер. 463 (rabotniki); budver від 330</t>
  </si>
  <si>
    <t xml:space="preserve">https://www.rabotniki.ua/uk/dekorativnaya-otdelka-sten
https://budver.com/masters/shtukaturno-malyarni-roboti</t>
  </si>
  <si>
    <t xml:space="preserve">Фарбування вікон (дерев'яних рам)</t>
  </si>
  <si>
    <t xml:space="preserve">350–570, сер. 448 (rabotniki); Київ сер. 480</t>
  </si>
  <si>
    <t xml:space="preserve">https://www.rabotniki.ua/uk/malyarnye-raboty
https://www.rabotniki.ua/uk/malyarnye-raboty/kiev</t>
  </si>
  <si>
    <t xml:space="preserve">Фарбування плінтусів та лиштви</t>
  </si>
  <si>
    <t xml:space="preserve">budver від 88; kabanchik: фарбування молдинга пінопласт 72</t>
  </si>
  <si>
    <t xml:space="preserve">https://budver.com/masters/shtukaturno-malyarni-roboti
https://kabanchik.ua/ua/kyiv/category/farbuvannia-stin</t>
  </si>
  <si>
    <t xml:space="preserve">Демонтаж (збивання) старої штукатурки / видалення шпаклівки</t>
  </si>
  <si>
    <t xml:space="preserve">rbk-alba: штукатурка зі стін 250, зі стелі 200; budver від 132</t>
  </si>
  <si>
    <t xml:space="preserve">https://rbk-alba.com/ua/price
https://budver.com/masters/shtukaturno-malyarni-roboti</t>
  </si>
  <si>
    <t xml:space="preserve">Очищення старої олійної фарби</t>
  </si>
  <si>
    <t xml:space="preserve">rbk-alba 250</t>
  </si>
  <si>
    <t xml:space="preserve">Багаторівнева стеля з ГКЛ (перепад рівня), пряма / радіусна</t>
  </si>
  <si>
    <t xml:space="preserve">пряма 400–730, сер. 551; півколо 380–900, сер. 674 (rabotniki); kabanchik 520/560; budver від 440/418</t>
  </si>
  <si>
    <t xml:space="preserve">https://www.rabotniki.ua/uk/montazh-gipsokartona
https://kabanchik.ua/ua/kyiv/tag/montazh-konstruktsii-z-hipsokartonu
https://budver.com/masters/gipsokartonni-roboti</t>
  </si>
  <si>
    <t xml:space="preserve">Обшивка стелі ГКЛ у 2 шари (без звукоізоляції)</t>
  </si>
  <si>
    <t xml:space="preserve">budver від 440; liv-comfort ГКЛ посилений у 2 шари 750</t>
  </si>
  <si>
    <t xml:space="preserve">https://budver.com/masters/gipsokartonni-roboti
https://liv-comfort.kyiv.ua/price-remont/index.html</t>
  </si>
  <si>
    <t xml:space="preserve">Установка та підключення світильника для стелі Армстронг</t>
  </si>
  <si>
    <t xml:space="preserve">170–500 (сер. 283 Київ, 323 Львів)</t>
  </si>
  <si>
    <t xml:space="preserve">https://www.rabotniki.ua/uk/elektromontazhnye-raboty/kiev
https://www.rabotniki.ua/uk/elektromontazhnye-raboty/lvov
https://bud.arsel.com.ua/tsiny-na-budivelni-roboty/
https://rbk-alba.com/ua/price</t>
  </si>
  <si>
    <t xml:space="preserve">Складання/монтаж люстри складної (кришталевої, великої)</t>
  </si>
  <si>
    <t xml:space="preserve">800–1000+</t>
  </si>
  <si>
    <t xml:space="preserve">https://kabanchik.ua/ua/kyiv/category/elektryk
https://rbk-alba.com/ua/price</t>
  </si>
  <si>
    <t xml:space="preserve">Перенесення електрощитка в квартиру</t>
  </si>
  <si>
    <t xml:space="preserve">1700–4000 (сер. ~2600–2800); Kabanchik від 5000</t>
  </si>
  <si>
    <t xml:space="preserve">https://www.rabotniki.ua/uk/elektromontazhnye-raboty/kiev
https://www.rabotniki.ua/uk/elektromontazhnye-raboty/lvov
https://kabanchik.ua/ua/kyiv/category/elektryk</t>
  </si>
  <si>
    <t xml:space="preserve">Розробка схеми (проекту) електропроводки</t>
  </si>
  <si>
    <t xml:space="preserve">100–220 (сер. ~145); Kabanchik 210</t>
  </si>
  <si>
    <t xml:space="preserve">https://www.rabotniki.ua/uk/elektromontazhnye-raboty/kiev
https://www.rabotniki.ua/uk/elektromontazhnye-raboty/lvov
https://kabanchik.ua/ua/kyiv/category/elektryk
https://budver.com/masters/elektromontazhni-roboti</t>
  </si>
  <si>
    <t xml:space="preserve">Пошук прихованої проводки (детектором)</t>
  </si>
  <si>
    <t xml:space="preserve">~1070 (Kabanchik, фіксована)</t>
  </si>
  <si>
    <t xml:space="preserve">https://kabanchik.ua/ua/kyiv/category/elektryk</t>
  </si>
  <si>
    <t xml:space="preserve">Установка та підключення прожектора (фасад/вулиця)</t>
  </si>
  <si>
    <t xml:space="preserve">275–550 (сер. ~400)</t>
  </si>
  <si>
    <t xml:space="preserve">https://www.rabotniki.ua/uk/elektromontazhnye-raboty/kiev
https://www.rabotniki.ua/uk/elektromontazhnye-raboty/lvov
https://rbk-alba.com/ua/price
https://budver.com/masters/elektromontazhni-roboti</t>
  </si>
  <si>
    <t xml:space="preserve">Установка діммера (світлорегулятора)</t>
  </si>
  <si>
    <t xml:space="preserve">200–400</t>
  </si>
  <si>
    <t xml:space="preserve">https://remmo.lviv.ua/elektromontazhni-roboty-lviv/
https://san-sanych.ua/czini-na-poslugi/posluga-elektruk.html</t>
  </si>
  <si>
    <t xml:space="preserve">Установка та підключення кухонної витяжки</t>
  </si>
  <si>
    <t xml:space="preserve">350–1400 (AM 350, РБК 500, Altek від 400, санич 1000–1400)</t>
  </si>
  <si>
    <t xml:space="preserve">https://amperage.com.ua/price/
https://rbk-alba.com/ua/price
https://altek.kiev.ua/uk/cini-na-elektromontazh-kyiv/
https://san-sanych.ua/czini-na-poslugi/posluga-elektruk.html</t>
  </si>
  <si>
    <t xml:space="preserve">Установка силової розетки для електроплити (32/40 А)</t>
  </si>
  <si>
    <t xml:space="preserve">від 180–400</t>
  </si>
  <si>
    <t xml:space="preserve">https://kabanchik.ua/ua/kyiv/category/elektryk
https://kabanchik.ua/ua/kyiv/category/inshi-posluhy-elektryka</t>
  </si>
  <si>
    <t xml:space="preserve">Установка електромагнітного/електромеханічного замка</t>
  </si>
  <si>
    <t xml:space="preserve">1250–1500</t>
  </si>
  <si>
    <t xml:space="preserve">Заміна пробок на автоматичні вимикачі</t>
  </si>
  <si>
    <t xml:space="preserve">400–700</t>
  </si>
  <si>
    <t xml:space="preserve">https://kabanchik.ua/ua/kyiv/category/elektryk
https://altek.kiev.ua/uk/cini-na-elektromontazh-kyiv/
https://san-sanych.ua/czini-na-poslugi/posluga-elektruk.html</t>
  </si>
  <si>
    <t xml:space="preserve">Година роботи електрика / мінімальний виїзд</t>
  </si>
  <si>
    <t xml:space="preserve">375–500 грн/год; виїзд 400–500</t>
  </si>
  <si>
    <t xml:space="preserve">https://remmo.lviv.ua/elektromontazhni-roboty-lviv/
https://altek.kiev.ua/uk/cini-na-elektromontazh-kyiv/
https://kabanchik.ua/ua/kyiv/category/elektryk</t>
  </si>
  <si>
    <t xml:space="preserve">Монтаж каналізаційної насосної станції (КНС)</t>
  </si>
  <si>
    <t xml:space="preserve">2900–4700 (сер. 3790 Київ); arsel 3045; budver від 3190</t>
  </si>
  <si>
    <t xml:space="preserve">https://www.rabotniki.ua/uk/santehnicheskie-raboty/kiev
https://bud.arsel.com.ua/tsiny-na-budivelni-roboty/
https://budver.com/masters/santehnichni-roboti</t>
  </si>
  <si>
    <t xml:space="preserve">Установка пісуара (навісного)</t>
  </si>
  <si>
    <t xml:space="preserve">850–1600 (сер. 1246 Київ); arsel 1130; budver від 935</t>
  </si>
  <si>
    <t xml:space="preserve">Установка проточного водонагрівача</t>
  </si>
  <si>
    <t xml:space="preserve">900–1900 (сер. 1300 Київ); arsel 1305; remonthub 1200</t>
  </si>
  <si>
    <t xml:space="preserve">https://www.rabotniki.ua/uk/santehnicheskie-raboty/kiev
https://bud.arsel.com.ua/tsiny-na-budivelni-roboty/
https://www.remonthub.org/prices.php</t>
  </si>
  <si>
    <t xml:space="preserve">Заміна арматури в бачку унітазу</t>
  </si>
  <si>
    <t xml:space="preserve">420–1000 (сер. 692 Київ); arsel 520; remonthub 500</t>
  </si>
  <si>
    <t xml:space="preserve">Демонтаж змішувача</t>
  </si>
  <si>
    <t xml:space="preserve">300 (rbk-alba); santehprofi від 400</t>
  </si>
  <si>
    <t xml:space="preserve">https://rbk-alba.com/ua/price
https://santehprofi.kyiv.ua/tsiny/</t>
  </si>
  <si>
    <t xml:space="preserve">Демонтаж душової кабіни</t>
  </si>
  <si>
    <t xml:space="preserve">budver від 583; santehprofi від 2500 (сильний розкид)</t>
  </si>
  <si>
    <t xml:space="preserve">https://budver.com/masters/santehnichni-roboti
https://santehprofi.kyiv.ua/tsiny/</t>
  </si>
  <si>
    <t xml:space="preserve">Механічне прочищення каналізації</t>
  </si>
  <si>
    <t xml:space="preserve">200–400 (сер. 307 Київ); budver від 220; santehprofi 100 за м.п. понад 8 м</t>
  </si>
  <si>
    <t xml:space="preserve">https://www.rabotniki.ua/uk/santehnicheskie-raboty/kiev
https://budver.com/masters/santehnichni-roboti
https://santehprofi.kyiv.ua/tsiny/</t>
  </si>
  <si>
    <t xml:space="preserve">Пусконалагодження (запуск) котла</t>
  </si>
  <si>
    <t xml:space="preserve">1000–1500 (сер. 1186–1200); santehprofi від 750</t>
  </si>
  <si>
    <t xml:space="preserve">https://www.rabotniki.ua/uk/sistemy-otopleniya/kiev
https://www.rabotniki.ua/uk/sistemy-otopleniya/lvov
https://santehprofi.kyiv.ua/tsiny/</t>
  </si>
  <si>
    <t xml:space="preserve">Монтаж коаксіального (турбо) димоходу котла</t>
  </si>
  <si>
    <t xml:space="preserve">650–1300 (сер. 873 Київ / 965 Львів)</t>
  </si>
  <si>
    <t xml:space="preserve">https://www.rabotniki.ua/uk/sistemy-otopleniya/kiev
https://www.rabotniki.ua/uk/sistemy-otopleniya/lvov</t>
  </si>
  <si>
    <t xml:space="preserve">Перенесення радіатора опалення</t>
  </si>
  <si>
    <t xml:space="preserve">1500–3600 (сер. 2083 Київ / 2400 Львів); remonthub від 1250</t>
  </si>
  <si>
    <t xml:space="preserve">https://www.rabotniki.ua/uk/sistemy-otopleniya/kiev
https://www.rabotniki.ua/uk/sistemy-otopleniya/lvov
https://www.remonthub.org/prices.php</t>
  </si>
  <si>
    <t xml:space="preserve">Монтаж газової колонки</t>
  </si>
  <si>
    <t xml:space="preserve">1500–3100 (сер. 2048 Київ / 2239 Львів)</t>
  </si>
  <si>
    <t xml:space="preserve">Установка кімнатного термостата / контролера котла</t>
  </si>
  <si>
    <t xml:space="preserve">550–900 (сер. 731–734)</t>
  </si>
  <si>
    <t xml:space="preserve">Демонтаж покрівлі / даху (шифер, металочерепиця)</t>
  </si>
  <si>
    <t xml:space="preserve">170–260 (сер. 225); шифер 100–190</t>
  </si>
  <si>
    <t xml:space="preserve">https://www.rabotniki.ua/uk/krovelnye-raboty/kiev</t>
  </si>
  <si>
    <t xml:space="preserve">Демонтаж тротуарної плитки (+ бордюру за м.п.)</t>
  </si>
  <si>
    <t xml:space="preserve">150–220 (сер. 169); бордюр 75–160 грн/м.п.</t>
  </si>
  <si>
    <t xml:space="preserve">https://www.rabotniki.ua/uk/trotuarnaya-plitka/kiev</t>
  </si>
  <si>
    <t xml:space="preserve">Демонтаж фасаду (утеплювач/облицювання)</t>
  </si>
  <si>
    <t xml:space="preserve">200–450 (сер. 279–290)</t>
  </si>
  <si>
    <t xml:space="preserve">https://www.rabotniki.ua/uk/fasadnye-raboty/kiev
https://www.rabotniki.ua/uk/fasadnye-raboty/lvov</t>
  </si>
  <si>
    <t xml:space="preserve">Вирізання прорізу в бетонній стіні 100–150 / 150–200 мм</t>
  </si>
  <si>
    <t xml:space="preserve">1850–2020 / 2400–2680; arsel 1600 (10–15 см)</t>
  </si>
  <si>
    <t xml:space="preserve">https://www.rabotniki.ua/uk/proemy-shtroby/kiev
https://bud.arsel.com.ua/tsiny-na-budivelni-roboty/</t>
  </si>
  <si>
    <t xml:space="preserve">Облицювання фасаду сайдингом (+ обрешітка)</t>
  </si>
  <si>
    <t xml:space="preserve">300–500 (сер. 403–428); обрешітка 250–450 грн/м.п.</t>
  </si>
  <si>
    <t xml:space="preserve">Укладання цементно-піщаної черепиці (ЦПЧ)</t>
  </si>
  <si>
    <t xml:space="preserve">277–750 (сер. 483)</t>
  </si>
  <si>
    <t xml:space="preserve">Монтаж мансардного вікна (в процесі будівництва / в готову покрівлю)</t>
  </si>
  <si>
    <t xml:space="preserve">3000–5300 (сер. 4417) / 3580–7000 (сер. 5385)</t>
  </si>
  <si>
    <t xml:space="preserve">Монтаж снігозатримувачів / коника</t>
  </si>
  <si>
    <t xml:space="preserve">200–290 (сер. 252)</t>
  </si>
  <si>
    <t xml:space="preserve">В'язка арматури / армування фундаменту (за тонну)</t>
  </si>
  <si>
    <t xml:space="preserve">11400–23000 (сер. 18300); армування ж/б пояса 14900–18000</t>
  </si>
  <si>
    <t xml:space="preserve">https://www.rabotniki.ua/uk/fundament/kiev</t>
  </si>
  <si>
    <t xml:space="preserve">Монтаж збірно-монолітного перекриття (Teriva)</t>
  </si>
  <si>
    <t xml:space="preserve">500–900 (сер. 717)</t>
  </si>
  <si>
    <t xml:space="preserve">https://www.rabotniki.ua/uk/montazhnye-raboty-plity-fbs/kiev</t>
  </si>
  <si>
    <t xml:space="preserve">Фігурне укладання тротуарної плитки (візерунки)</t>
  </si>
  <si>
    <t xml:space="preserve">600–880 (сер. 722); колор-мікс 430 (pl2t)</t>
  </si>
  <si>
    <t xml:space="preserve">https://www.rabotniki.ua/uk/trotuarnaya-plitka/kiev
https://pl2t.com/uk/shop/product/ukladanna-trotuarnoi-plitki/</t>
  </si>
  <si>
    <t xml:space="preserve">Зварювальний шов (за м.п.: MMA / напівавтомат / аргон)</t>
  </si>
  <si>
    <t xml:space="preserve">від 100 / від 120 / від 200 (rating-remont); 258–541 за м.п. при кромці 4–6 мм (duga.in.ua); труби d21–d42 250–400 (kabanchik)</t>
  </si>
  <si>
    <t xml:space="preserve">https://rating-remont-kvartir.com.ua/ua/rozcinki-na-zvarjuvalni-roboti/
https://duga.in.ua/ua/prajs2.html
https://kabanchik.ua/ua/kyiv/tag/posluhy-zvariuvalnyka</t>
  </si>
  <si>
    <t xml:space="preserve">Джерело</t>
  </si>
  <si>
    <t xml:space="preserve">Що там є</t>
  </si>
  <si>
    <t xml:space="preserve">Актуальність</t>
  </si>
  <si>
    <t xml:space="preserve">Якість</t>
  </si>
  <si>
    <t xml:space="preserve">Нове (не було у попередніх рев'ю)</t>
  </si>
  <si>
    <t xml:space="preserve">Групи, де використано</t>
  </si>
  <si>
    <t xml:space="preserve">rabotniki.ua</t>
  </si>
  <si>
    <t xml:space="preserve">Мін/сер/макс за десятками позицій, окремо Київ і Львів: кладка, фасад, покрівля, бетон, фундамент, тротуарна плитка, монтаж ФБС/армопояс, демонтаж (стіни, підлога, вікна/двері, отвори), вивіз/винос сміття, вантажники, паркани, ворота/хвіртки, сходи, навіси, ковка, демонтаж/зварювання металоконструкцій</t>
  </si>
  <si>
    <t xml:space="preserve">2026-10</t>
  </si>
  <si>
    <t xml:space="preserve">добре</t>
  </si>
  <si>
    <t xml:space="preserve">ні</t>
  </si>
  <si>
    <t xml:space="preserve">Плитка і підлоги, Малярка і гіпсокартон, Електрика, Сантехніка, Будівельник, демонтаж, метал</t>
  </si>
  <si>
    <t xml:space="preserve">bud.arsel.com.ua</t>
  </si>
  <si>
    <t xml:space="preserve">Київ: демонтаж (перегородки, стяжка, плитка, двері, вікна, отвори), фасад/вентфасад 'від', покрівля 'від'</t>
  </si>
  <si>
    <t xml:space="preserve">2026-01</t>
  </si>
  <si>
    <t xml:space="preserve">так</t>
  </si>
  <si>
    <t xml:space="preserve">rbk-alba.com</t>
  </si>
  <si>
    <t xml:space="preserve">Великий київський прайс (~250 позицій демонтажу + кам'яні та бетонні роботи); дата оновлення 19.10.2026; демонтаж помітно вище бюджетного сегменту</t>
  </si>
  <si>
    <t xml:space="preserve">plitochnik.kiev.ua</t>
  </si>
  <si>
    <t xml:space="preserve">Детальний прайс плиткової бригади з Києва (формати, 45°, отвори, затирки, гідроізоляція, вироби), окрема сторінка для широкоформатного керамограніту. Структура дуже схожа на наш каталог</t>
  </si>
  <si>
    <t xml:space="preserve">2026</t>
  </si>
  <si>
    <t xml:space="preserve">amperage.com.ua</t>
  </si>
  <si>
    <t xml:space="preserve">Прайс електромонтажної компанії зі Львова: ~70 позицій (щит за модулями, автомати за полюсами, ПЗВ 2/4п, перемикачі аварійного живлення, трек, LED, точкові з отворами).</t>
  </si>
  <si>
    <t xml:space="preserve">2026 (стор. змінено 05.2026)</t>
  </si>
  <si>
    <t xml:space="preserve">altek.kiev.ua</t>
  </si>
  <si>
    <t xml:space="preserve">Прайс електрика з Києва 2026: коробки за матеріалами, штроба з закладенням, плита/духовка, бойлер, реле, інвертор, генератор, виїзд, години, надбавки +30%.</t>
  </si>
  <si>
    <t xml:space="preserve">pilo-material.kiev.ua</t>
  </si>
  <si>
    <t xml:space="preserve">Київський прайс покрівельних робіт, явно 'тільки робота' (металочерепиця, профнастил, бітумна, крокви, обрешітка, утеплення, водостоки)</t>
  </si>
  <si>
    <t xml:space="preserve">pl2t.com</t>
  </si>
  <si>
    <t xml:space="preserve">Київ: детальний прайс укладання тротуарної плитки, бордюрів, гарцовки, основи, люків/піскоприймачів</t>
  </si>
  <si>
    <t xml:space="preserve">2026-07</t>
  </si>
  <si>
    <t xml:space="preserve">budver.com</t>
  </si>
  <si>
    <t xml:space="preserve">Маркетплейс майстрів: ціни 'від' і мін/сер/макс (затирка, епоксидка, гідроізоляція, 45°, кабанчик). Схоже на шаблон (та сама кількість майстрів 1119, макс = 2,5–3×мін)</t>
  </si>
  <si>
    <t xml:space="preserve">нормально</t>
  </si>
  <si>
    <t xml:space="preserve">kabanchik.ua</t>
  </si>
  <si>
    <t xml:space="preserve">Категорія «Електрик» Київ: блоки «від» (стабілізатор, лічильник, щит, домофон, люстри) і фіксований блок «Вартість послуг»; також «Інші послуги електрика» і «Установка духової шафи». Ціни «від» місцями і завищені, і занижені, тож бралися обережно.</t>
  </si>
  <si>
    <t xml:space="preserve">remonthub.org</t>
  </si>
  <si>
    <t xml:space="preserve">Київський прайс-лист 2026: плитка, затирки, гідроізоляція, стяжка, ламінат, тепла підлога</t>
  </si>
  <si>
    <t xml:space="preserve">liv-comfort.kyiv.ua</t>
  </si>
  <si>
    <t xml:space="preserve">Кілька укрупнених позицій: точка 2500, стояк 2550/3500, Аквастоп 2300, радіатори.</t>
  </si>
  <si>
    <t xml:space="preserve">Плитка і підлоги, Малярка і гіпсокартон, Електрика, Сантехніка</t>
  </si>
  <si>
    <t xml:space="preserve">stroyremdizayn.kiev.ua</t>
  </si>
  <si>
    <t xml:space="preserve">Київський прайс за форматами плитки та розділ підлоги. Цифри підлоги майже 1:1 збігаються з нашим FLOORING, тож, найпевніше, це джерело нашого каталогу і не є незалежним</t>
  </si>
  <si>
    <t xml:space="preserve">Плитка і підлоги, Малярка і гіпсокартон, Електрика</t>
  </si>
  <si>
    <t xml:space="preserve">remmo.lviv.ua</t>
  </si>
  <si>
    <t xml:space="preserve">Львівський прайс електромонтажу 2026: штроби за типами стін, коробки, щит, автомати, світло, плита, LED, тепла підлога, година 375.</t>
  </si>
  <si>
    <t xml:space="preserve">plitka.ua</t>
  </si>
  <si>
    <t xml:space="preserve">Прайс магазину плитки на укладання за форматами (100х100 … 1000х1000, дошка до 900/1200/1800)</t>
  </si>
  <si>
    <t xml:space="preserve">2025</t>
  </si>
  <si>
    <t xml:space="preserve">mirafloor.com.ua</t>
  </si>
  <si>
    <t xml:space="preserve">Спеціалізована компанія з наливних підлог у Києві: ціна роботи від 350 грн/м², що в неї входить</t>
  </si>
  <si>
    <t xml:space="preserve">2026-09</t>
  </si>
  <si>
    <t xml:space="preserve">parket-doska.com.ua</t>
  </si>
  <si>
    <t xml:space="preserve">Київський салон: укладання паркету/вінілу/ламінату ялинкою і палубою, реставрація</t>
  </si>
  <si>
    <t xml:space="preserve">н/д</t>
  </si>
  <si>
    <t xml:space="preserve">duflu.org.ua</t>
  </si>
  <si>
    <t xml:space="preserve">Огляд 2026 з діапазонами цін на плитку по містах (Київ/Львів/Одеса/Харків), доплати за ялинку/великий формат</t>
  </si>
  <si>
    <t xml:space="preserve">2026-03</t>
  </si>
  <si>
    <t xml:space="preserve">domremonta.com.ua</t>
  </si>
  <si>
    <t xml:space="preserve">Київ, машинна штукатурка, окремо ціна лише роботи ('від')</t>
  </si>
  <si>
    <t xml:space="preserve">2026-02</t>
  </si>
  <si>
    <t xml:space="preserve">vikna.tv</t>
  </si>
  <si>
    <t xml:space="preserve">Огляд цін на поклейку шпалер за типами (середні по Україні)</t>
  </si>
  <si>
    <t xml:space="preserve">2026-09-21</t>
  </si>
  <si>
    <t xml:space="preserve">san-sanych.ua</t>
  </si>
  <si>
    <t xml:space="preserve">Київський «домашній майстер», прайс електрика (~100 позицій, вкл. EcoFlow/генератори з АВР). Ціни на 30–100% вищі за медіану, придатні як верхня межа.</t>
  </si>
  <si>
    <t xml:space="preserve">santehprofi.kyiv.ua</t>
  </si>
  <si>
    <t xml:space="preserve">Прайс київської сантехнічної фірми (~200 позицій «від»: інсталяції, душові, бойлери, котли, гребінки, тепла підлога). Ціни «від» місцями завищені для дрібних робіт. Змішувальний вузол коштує 1203, як і наша насосна група, тож можливий спільний шаблон.</t>
  </si>
  <si>
    <t xml:space="preserve">2025-10-11</t>
  </si>
  <si>
    <t xml:space="preserve">news.telegraf.com.ua</t>
  </si>
  <si>
    <t xml:space="preserve">Стаття: ціни монтажу водяної теплої підлоги 250–520 грн/м².</t>
  </si>
  <si>
    <t xml:space="preserve">2026-05-16</t>
  </si>
  <si>
    <t xml:space="preserve">duga.in.ua</t>
  </si>
  <si>
    <t xml:space="preserve">Київський зварювальник: погодинні/змінні ставки, ціна шва за м.п. за товщиною кромки та положенням, стики труб</t>
  </si>
  <si>
    <t xml:space="preserve">2023–2025</t>
  </si>
  <si>
    <t xml:space="preserve">gruzmen.kiev.ua / bison-trans.com / ms-pro.kiev.ua</t>
  </si>
  <si>
    <t xml:space="preserve">Вантажники Київ: підйом матеріалів від 10 грн/поверх, 25 грн/поверх/людина, +10 грн/поверх; погодинно 350–450</t>
  </si>
  <si>
    <t xml:space="preserve">rating-remont-kvartir.com.ua</t>
  </si>
  <si>
    <t xml:space="preserve">«Розцінки на сантехнічні роботи» (Україна/Київ): частина позицій скопійована з rabotniki, у київській сторінці ціни явно занижені (унітаз 500–800). Використовувалася лише як допоміжне джерело.</t>
  </si>
  <si>
    <t xml:space="preserve">слабко</t>
  </si>
  <si>
    <t xml:space="preserve">Плитка і підлоги, Малярка і гіпсокартон, Сантехніка, Будівельник, демонтаж, метал</t>
  </si>
  <si>
    <t xml:space="preserve">24tv.ua</t>
  </si>
  <si>
    <t xml:space="preserve">Новинна стаття з реальними цінами майстра на плитку у ванній (укладання, затирка, отвори)</t>
  </si>
  <si>
    <t xml:space="preserve">creativebuild.com.ua</t>
  </si>
  <si>
    <t xml:space="preserve">Львів, діапазони цін на шпаклювання; можливо, з матеріалами</t>
  </si>
  <si>
    <t xml:space="preserve">2025-10</t>
  </si>
  <si>
    <t xml:space="preserve">220volt.com.ua</t>
  </si>
  <si>
    <t xml:space="preserve">Прайс без дати; ціни виглядають як 2018–2020 (розетка 40, автомат 45). Не використовувався для медіан.</t>
  </si>
  <si>
    <t xml:space="preserve">ts.kiev.ua / elektrobezpeka.com.ua</t>
  </si>
  <si>
    <t xml:space="preserve">Електролабораторії, вимірювання (опір ізоляції/заземлення). Прайси старі (2021 або без дати). Ринкових даних про вимірювання від майстрів не знайдено.</t>
  </si>
  <si>
    <t xml:space="preserve">2021/н/д</t>
  </si>
  <si>
    <t xml:space="preserve">pricesua.com</t>
  </si>
  <si>
    <t xml:space="preserve">Оглядова стаття з діапазонами (унітаз, бойлер, пральна) і поправками на місто. Тільки для підтвердження.</t>
  </si>
  <si>
    <t xml:space="preserve">2026-07-02</t>
  </si>
  <si>
    <t xml:space="preserve">rimeik.com.ua</t>
  </si>
  <si>
    <t xml:space="preserve">Львівський прайс сантехніка. Дата «на сьогодні» динамічна, ціни виглядають застарілими (ванна 600, точка каналізації 300). Тільки як нижня межа.</t>
  </si>
  <si>
    <t xml:space="preserve">vencon.ua</t>
  </si>
  <si>
    <t xml:space="preserve">Ритейлер, послуги монтажу котлів і радіаторів. Ціни незрозумілі (радіатор 14126, котел на готові виводи 6857), можливо, пакетні. Не використовувалися для медіан.</t>
  </si>
  <si>
    <t xml:space="preserve">poslugy.in.ua</t>
  </si>
  <si>
    <t xml:space="preserve">Львів, кілька цін «від» (розводка опалення від 350/м.п., заміна труб від 300/м.п.). Не використовувався.</t>
  </si>
  <si>
    <t xml:space="preserve">demontazh-kyiv.com.ua</t>
  </si>
  <si>
    <t xml:space="preserve">Київ: демонтаж 'від' (дуже низькі, ймовірно застарілі), фасування/спуск сміття в мішках, навантаження за м³, контейнер, вивіз</t>
  </si>
  <si>
    <t xml:space="preserve">demontazh-pro.kiev.ua</t>
  </si>
  <si>
    <t xml:space="preserve">Прайс демонтажу Київ — цифри 1:1 збігаються з нашим DEMOLITION (60/60/65/70/60/20/30/150): ймовірне джерело каталогу, НЕ незалежне</t>
  </si>
  <si>
    <t xml:space="preserve">ibud.ua</t>
  </si>
  <si>
    <t xml:space="preserve">Каталог готових металокаркасів сходів (з матеріалом) — орієнтир для 'за сходинку'</t>
  </si>
  <si>
    <t xml:space="preserve">ecowood.com.ua</t>
  </si>
  <si>
    <t xml:space="preserve">Тераси: металокаркас із профтруби 1800 грн/м², 'Стандартна тераса' 5300 грн/м² (неясно чи з матеріалом)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</si>
</sst>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\+0%;\-0%;0%"/>
    <numFmt numFmtId="167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A2519"/>
        <bgColor rgb="FF333333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CCB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3A251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CB5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A251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2" t="s">
        <v>9</v>
      </c>
      <c r="B5" s="2" t="n">
        <f aca="false">COUNTIFS(Звірка!$A$2:$A$309,A5)</f>
        <v>68</v>
      </c>
      <c r="C5" s="2" t="n">
        <f aca="false">COUNTIFS(Звірка!$A$2:$A$309,$A5,Звірка!$I$2:$I$309,"в ринку")</f>
        <v>39</v>
      </c>
      <c r="D5" s="2" t="n">
        <f aca="false">COUNTIFS(Звірка!$A$2:$A$309,$A5,Звірка!$I$2:$I$309,"підняти")</f>
        <v>22</v>
      </c>
      <c r="E5" s="2" t="n">
        <f aca="false">COUNTIFS(Звірка!$A$2:$A$309,$A5,Звірка!$I$2:$I$309,"знизити")</f>
        <v>5</v>
      </c>
      <c r="F5" s="2" t="n">
        <f aca="false">COUNTIFS(Звірка!$A$2:$A$309,$A5,Звірка!$I$2:$I$309,"неясно")</f>
        <v>2</v>
      </c>
      <c r="G5" s="2" t="n">
        <f aca="false">COUNTIFS(Аномалії!$A$2:$A$131,A5)</f>
        <v>32</v>
      </c>
    </row>
    <row r="6" customFormat="false" ht="15" hidden="false" customHeight="false" outlineLevel="0" collapsed="false">
      <c r="A6" s="2" t="s">
        <v>10</v>
      </c>
      <c r="B6" s="2" t="n">
        <f aca="false">COUNTIFS(Звірка!$A$2:$A$309,A6)</f>
        <v>50</v>
      </c>
      <c r="C6" s="2" t="n">
        <f aca="false">COUNTIFS(Звірка!$A$2:$A$309,$A6,Звірка!$I$2:$I$309,"в ринку")</f>
        <v>29</v>
      </c>
      <c r="D6" s="2" t="n">
        <f aca="false">COUNTIFS(Звірка!$A$2:$A$309,$A6,Звірка!$I$2:$I$309,"підняти")</f>
        <v>14</v>
      </c>
      <c r="E6" s="2" t="n">
        <f aca="false">COUNTIFS(Звірка!$A$2:$A$309,$A6,Звірка!$I$2:$I$309,"знизити")</f>
        <v>6</v>
      </c>
      <c r="F6" s="2" t="n">
        <f aca="false">COUNTIFS(Звірка!$A$2:$A$309,$A6,Звірка!$I$2:$I$309,"неясно")</f>
        <v>1</v>
      </c>
      <c r="G6" s="2" t="n">
        <f aca="false">COUNTIFS(Аномалії!$A$2:$A$131,A6)</f>
        <v>23</v>
      </c>
    </row>
    <row r="7" customFormat="false" ht="15" hidden="false" customHeight="false" outlineLevel="0" collapsed="false">
      <c r="A7" s="2" t="s">
        <v>11</v>
      </c>
      <c r="B7" s="2" t="n">
        <f aca="false">COUNTIFS(Звірка!$A$2:$A$309,A7)</f>
        <v>60</v>
      </c>
      <c r="C7" s="2" t="n">
        <f aca="false">COUNTIFS(Звірка!$A$2:$A$309,$A7,Звірка!$I$2:$I$309,"в ринку")</f>
        <v>27</v>
      </c>
      <c r="D7" s="2" t="n">
        <f aca="false">COUNTIFS(Звірка!$A$2:$A$309,$A7,Звірка!$I$2:$I$309,"підняти")</f>
        <v>13</v>
      </c>
      <c r="E7" s="2" t="n">
        <f aca="false">COUNTIFS(Звірка!$A$2:$A$309,$A7,Звірка!$I$2:$I$309,"знизити")</f>
        <v>17</v>
      </c>
      <c r="F7" s="2" t="n">
        <f aca="false">COUNTIFS(Звірка!$A$2:$A$309,$A7,Звірка!$I$2:$I$309,"неясно")</f>
        <v>3</v>
      </c>
      <c r="G7" s="2" t="n">
        <f aca="false">COUNTIFS(Аномалії!$A$2:$A$131,A7)</f>
        <v>16</v>
      </c>
    </row>
    <row r="8" customFormat="false" ht="15" hidden="false" customHeight="false" outlineLevel="0" collapsed="false">
      <c r="A8" s="2" t="s">
        <v>12</v>
      </c>
      <c r="B8" s="2" t="n">
        <f aca="false">COUNTIFS(Звірка!$A$2:$A$309,A8)</f>
        <v>69</v>
      </c>
      <c r="C8" s="2" t="n">
        <f aca="false">COUNTIFS(Звірка!$A$2:$A$309,$A8,Звірка!$I$2:$I$309,"в ринку")</f>
        <v>27</v>
      </c>
      <c r="D8" s="2" t="n">
        <f aca="false">COUNTIFS(Звірка!$A$2:$A$309,$A8,Звірка!$I$2:$I$309,"підняти")</f>
        <v>34</v>
      </c>
      <c r="E8" s="2" t="n">
        <f aca="false">COUNTIFS(Звірка!$A$2:$A$309,$A8,Звірка!$I$2:$I$309,"знизити")</f>
        <v>7</v>
      </c>
      <c r="F8" s="2" t="n">
        <f aca="false">COUNTIFS(Звірка!$A$2:$A$309,$A8,Звірка!$I$2:$I$309,"неясно")</f>
        <v>1</v>
      </c>
      <c r="G8" s="2" t="n">
        <f aca="false">COUNTIFS(Аномалії!$A$2:$A$131,A8)</f>
        <v>24</v>
      </c>
    </row>
    <row r="9" customFormat="false" ht="15" hidden="false" customHeight="false" outlineLevel="0" collapsed="false">
      <c r="A9" s="2" t="s">
        <v>13</v>
      </c>
      <c r="B9" s="2" t="n">
        <f aca="false">COUNTIFS(Звірка!$A$2:$A$309,A9)</f>
        <v>61</v>
      </c>
      <c r="C9" s="2" t="n">
        <f aca="false">COUNTIFS(Звірка!$A$2:$A$309,$A9,Звірка!$I$2:$I$309,"в ринку")</f>
        <v>21</v>
      </c>
      <c r="D9" s="2" t="n">
        <f aca="false">COUNTIFS(Звірка!$A$2:$A$309,$A9,Звірка!$I$2:$I$309,"підняти")</f>
        <v>32</v>
      </c>
      <c r="E9" s="2" t="n">
        <f aca="false">COUNTIFS(Звірка!$A$2:$A$309,$A9,Звірка!$I$2:$I$309,"знизити")</f>
        <v>5</v>
      </c>
      <c r="F9" s="2" t="n">
        <f aca="false">COUNTIFS(Звірка!$A$2:$A$309,$A9,Звірка!$I$2:$I$309,"неясно")</f>
        <v>3</v>
      </c>
      <c r="G9" s="2" t="n">
        <f aca="false">COUNTIFS(Аномалії!$A$2:$A$131,A9)</f>
        <v>35</v>
      </c>
    </row>
    <row r="10" customFormat="false" ht="15" hidden="false" customHeight="false" outlineLevel="0" collapsed="false">
      <c r="A10" s="4" t="s">
        <v>14</v>
      </c>
      <c r="B10" s="4" t="n">
        <f aca="false">SUM(B5:B9)</f>
        <v>308</v>
      </c>
      <c r="C10" s="4" t="n">
        <f aca="false">SUM(C5:C9)</f>
        <v>143</v>
      </c>
      <c r="D10" s="4" t="n">
        <f aca="false">SUM(D5:D9)</f>
        <v>115</v>
      </c>
      <c r="E10" s="4" t="n">
        <f aca="false">SUM(E5:E9)</f>
        <v>40</v>
      </c>
      <c r="F10" s="4" t="n">
        <f aca="false">SUM(F5:F9)</f>
        <v>10</v>
      </c>
      <c r="G10" s="4" t="n">
        <f aca="false">SUM(G5:G9)</f>
        <v>130</v>
      </c>
    </row>
    <row r="11" customFormat="false" ht="15" hidden="false" customHeight="false" outlineLevel="0" collapsed="false">
      <c r="A11" s="2" t="s">
        <v>15</v>
      </c>
      <c r="B11" s="2" t="n">
        <f aca="false">COUNTA('Нові позиції'!$C$2:$C$64)</f>
        <v>63</v>
      </c>
    </row>
    <row r="12" customFormat="false" ht="15" hidden="false" customHeight="false" outlineLevel="0" collapsed="false">
      <c r="A12" s="2" t="s">
        <v>16</v>
      </c>
      <c r="B12" s="2" t="n">
        <f aca="false">COUNTA(Звірка!$L$2:$L$309)</f>
        <v>0</v>
      </c>
    </row>
    <row r="14" customFormat="false" ht="15.75" hidden="false" customHeight="true" outlineLevel="0" collapsed="false">
      <c r="A14" s="5" t="s">
        <v>17</v>
      </c>
      <c r="B14" s="5"/>
      <c r="C14" s="5"/>
      <c r="D14" s="5"/>
      <c r="E14" s="5"/>
      <c r="F14" s="5"/>
      <c r="G14" s="5"/>
    </row>
    <row r="15" customFormat="false" ht="30" hidden="false" customHeight="true" outlineLevel="0" collapsed="false">
      <c r="A15" s="6" t="s">
        <v>18</v>
      </c>
      <c r="B15" s="6"/>
      <c r="C15" s="6"/>
      <c r="D15" s="6"/>
      <c r="E15" s="6"/>
      <c r="F15" s="6"/>
      <c r="G15" s="6"/>
    </row>
    <row r="16" customFormat="false" ht="30" hidden="false" customHeight="true" outlineLevel="0" collapsed="false">
      <c r="A16" s="6" t="s">
        <v>19</v>
      </c>
      <c r="B16" s="6"/>
      <c r="C16" s="6"/>
      <c r="D16" s="6"/>
      <c r="E16" s="6"/>
      <c r="F16" s="6"/>
      <c r="G16" s="6"/>
    </row>
    <row r="17" customFormat="false" ht="30" hidden="false" customHeight="true" outlineLevel="0" collapsed="false">
      <c r="A17" s="6" t="s">
        <v>20</v>
      </c>
      <c r="B17" s="6"/>
      <c r="C17" s="6"/>
      <c r="D17" s="6"/>
      <c r="E17" s="6"/>
      <c r="F17" s="6"/>
      <c r="G17" s="6"/>
    </row>
    <row r="18" customFormat="false" ht="15.75" hidden="false" customHeight="true" outlineLevel="0" collapsed="false">
      <c r="A18" s="6" t="s">
        <v>21</v>
      </c>
      <c r="B18" s="6"/>
      <c r="C18" s="6"/>
      <c r="D18" s="6"/>
      <c r="E18" s="6"/>
      <c r="F18" s="6"/>
      <c r="G18" s="6"/>
    </row>
    <row r="19" customFormat="false" ht="30" hidden="false" customHeight="true" outlineLevel="0" collapsed="false">
      <c r="A19" s="6" t="s">
        <v>22</v>
      </c>
      <c r="B19" s="6"/>
      <c r="C19" s="6"/>
      <c r="D19" s="6"/>
      <c r="E19" s="6"/>
      <c r="F19" s="6"/>
      <c r="G19" s="6"/>
    </row>
    <row r="20" customFormat="false" ht="15.75" hidden="false" customHeight="true" outlineLevel="0" collapsed="false">
      <c r="A20" s="6" t="s">
        <v>23</v>
      </c>
      <c r="B20" s="6"/>
      <c r="C20" s="6"/>
      <c r="D20" s="6"/>
      <c r="E20" s="6"/>
      <c r="F20" s="6"/>
      <c r="G20" s="6"/>
    </row>
  </sheetData>
  <mergeCells count="7">
    <mergeCell ref="A14:G14"/>
    <mergeCell ref="A15:G15"/>
    <mergeCell ref="A16:G16"/>
    <mergeCell ref="A17:G17"/>
    <mergeCell ref="A18:G18"/>
    <mergeCell ref="A19:G19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50"/>
    <col collapsed="false" customWidth="true" hidden="false" outlineLevel="0" max="16" min="16" style="0" width="70"/>
  </cols>
  <sheetData>
    <row r="1" customFormat="false" ht="31.5" hidden="false" customHeight="true" outlineLevel="0" collapsed="false">
      <c r="A1" s="7" t="s">
        <v>2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7" t="s">
        <v>36</v>
      </c>
      <c r="O1" s="7" t="s">
        <v>37</v>
      </c>
      <c r="P1" s="7" t="s">
        <v>38</v>
      </c>
    </row>
    <row r="2" customFormat="false" ht="53.7" hidden="false" customHeight="false" outlineLevel="0" collapsed="false">
      <c r="A2" s="8" t="s">
        <v>9</v>
      </c>
      <c r="B2" s="8" t="s">
        <v>39</v>
      </c>
      <c r="C2" s="8" t="s">
        <v>40</v>
      </c>
      <c r="D2" s="8" t="s">
        <v>41</v>
      </c>
      <c r="E2" s="9" t="n">
        <v>20</v>
      </c>
      <c r="F2" s="9" t="n">
        <v>80</v>
      </c>
      <c r="G2" s="9" t="n">
        <v>130</v>
      </c>
      <c r="H2" s="9" t="n">
        <v>250</v>
      </c>
      <c r="I2" s="8" t="s">
        <v>42</v>
      </c>
      <c r="J2" s="9" t="n">
        <v>100</v>
      </c>
      <c r="K2" s="10" t="n">
        <f aca="false">IF(AND(ISNUMBER(J2),E2&gt;0),J2/E2-1,"")</f>
        <v>4</v>
      </c>
      <c r="L2" s="11"/>
      <c r="M2" s="12"/>
      <c r="N2" s="13" t="n">
        <f aca="false">IF(L2="Своя ціна",M2,IF(L2="Прийняти",IF(ISNUMBER(J2),J2,E2),E2))</f>
        <v>20</v>
      </c>
      <c r="O2" s="8" t="s">
        <v>43</v>
      </c>
      <c r="P2" s="14" t="s">
        <v>44</v>
      </c>
    </row>
    <row r="3" customFormat="false" ht="43.25" hidden="false" customHeight="false" outlineLevel="0" collapsed="false">
      <c r="A3" s="8" t="s">
        <v>9</v>
      </c>
      <c r="B3" s="8" t="s">
        <v>39</v>
      </c>
      <c r="C3" s="8" t="s">
        <v>45</v>
      </c>
      <c r="D3" s="8" t="s">
        <v>41</v>
      </c>
      <c r="E3" s="9" t="n">
        <v>301</v>
      </c>
      <c r="F3" s="9" t="n">
        <v>350</v>
      </c>
      <c r="G3" s="9" t="n">
        <v>362</v>
      </c>
      <c r="H3" s="9" t="n">
        <v>373</v>
      </c>
      <c r="I3" s="8" t="s">
        <v>42</v>
      </c>
      <c r="J3" s="9" t="n">
        <v>350</v>
      </c>
      <c r="K3" s="10" t="n">
        <f aca="false">IF(AND(ISNUMBER(J3),E3&gt;0),J3/E3-1,"")</f>
        <v>0.162790697674419</v>
      </c>
      <c r="L3" s="11"/>
      <c r="M3" s="12"/>
      <c r="N3" s="13" t="n">
        <f aca="false">IF(L3="Своя ціна",M3,IF(L3="Прийняти",IF(ISNUMBER(J3),J3,E3),E3))</f>
        <v>301</v>
      </c>
      <c r="O3" s="8" t="s">
        <v>46</v>
      </c>
      <c r="P3" s="14" t="s">
        <v>47</v>
      </c>
    </row>
    <row r="4" customFormat="false" ht="43.25" hidden="false" customHeight="false" outlineLevel="0" collapsed="false">
      <c r="A4" s="8" t="s">
        <v>9</v>
      </c>
      <c r="B4" s="8" t="s">
        <v>39</v>
      </c>
      <c r="C4" s="8" t="s">
        <v>48</v>
      </c>
      <c r="D4" s="8" t="s">
        <v>49</v>
      </c>
      <c r="E4" s="9" t="n">
        <v>312</v>
      </c>
      <c r="F4" s="9" t="n">
        <v>350</v>
      </c>
      <c r="G4" s="9" t="n">
        <v>375</v>
      </c>
      <c r="H4" s="9" t="n">
        <v>400</v>
      </c>
      <c r="I4" s="8" t="s">
        <v>42</v>
      </c>
      <c r="J4" s="9" t="n">
        <v>370</v>
      </c>
      <c r="K4" s="10" t="n">
        <f aca="false">IF(AND(ISNUMBER(J4),E4&gt;0),J4/E4-1,"")</f>
        <v>0.185897435897436</v>
      </c>
      <c r="L4" s="11"/>
      <c r="M4" s="12"/>
      <c r="N4" s="13" t="n">
        <f aca="false">IF(L4="Своя ціна",M4,IF(L4="Прийняти",IF(ISNUMBER(J4),J4,E4),E4))</f>
        <v>312</v>
      </c>
      <c r="O4" s="8"/>
      <c r="P4" s="14" t="s">
        <v>50</v>
      </c>
    </row>
    <row r="5" customFormat="false" ht="43.25" hidden="false" customHeight="false" outlineLevel="0" collapsed="false">
      <c r="A5" s="8" t="s">
        <v>9</v>
      </c>
      <c r="B5" s="8" t="s">
        <v>39</v>
      </c>
      <c r="C5" s="8" t="s">
        <v>51</v>
      </c>
      <c r="D5" s="8" t="s">
        <v>41</v>
      </c>
      <c r="E5" s="9" t="n">
        <v>200</v>
      </c>
      <c r="F5" s="9" t="n">
        <v>220</v>
      </c>
      <c r="G5" s="9" t="n">
        <v>260</v>
      </c>
      <c r="H5" s="9" t="n">
        <v>300</v>
      </c>
      <c r="I5" s="8" t="s">
        <v>42</v>
      </c>
      <c r="J5" s="9" t="n">
        <v>260</v>
      </c>
      <c r="K5" s="10" t="n">
        <f aca="false">IF(AND(ISNUMBER(J5),E5&gt;0),J5/E5-1,"")</f>
        <v>0.3</v>
      </c>
      <c r="L5" s="11"/>
      <c r="M5" s="12"/>
      <c r="N5" s="13" t="n">
        <f aca="false">IF(L5="Своя ціна",M5,IF(L5="Прийняти",IF(ISNUMBER(J5),J5,E5),E5))</f>
        <v>200</v>
      </c>
      <c r="O5" s="8" t="s">
        <v>52</v>
      </c>
      <c r="P5" s="14" t="s">
        <v>53</v>
      </c>
    </row>
    <row r="6" customFormat="false" ht="64.15" hidden="false" customHeight="false" outlineLevel="0" collapsed="false">
      <c r="A6" s="8" t="s">
        <v>9</v>
      </c>
      <c r="B6" s="8" t="s">
        <v>39</v>
      </c>
      <c r="C6" s="8" t="s">
        <v>54</v>
      </c>
      <c r="D6" s="8" t="s">
        <v>41</v>
      </c>
      <c r="E6" s="9" t="n">
        <v>400</v>
      </c>
      <c r="F6" s="9" t="n">
        <v>441</v>
      </c>
      <c r="G6" s="9" t="n">
        <v>452</v>
      </c>
      <c r="H6" s="9" t="n">
        <v>460</v>
      </c>
      <c r="I6" s="8" t="s">
        <v>42</v>
      </c>
      <c r="J6" s="9" t="n">
        <v>450</v>
      </c>
      <c r="K6" s="10" t="n">
        <f aca="false">IF(AND(ISNUMBER(J6),E6&gt;0),J6/E6-1,"")</f>
        <v>0.125</v>
      </c>
      <c r="L6" s="11"/>
      <c r="M6" s="12"/>
      <c r="N6" s="13" t="n">
        <f aca="false">IF(L6="Своя ціна",M6,IF(L6="Прийняти",IF(ISNUMBER(J6),J6,E6),E6))</f>
        <v>400</v>
      </c>
      <c r="O6" s="8"/>
      <c r="P6" s="14" t="s">
        <v>55</v>
      </c>
    </row>
    <row r="7" customFormat="false" ht="53.7" hidden="false" customHeight="false" outlineLevel="0" collapsed="false">
      <c r="A7" s="8" t="s">
        <v>9</v>
      </c>
      <c r="B7" s="8" t="s">
        <v>39</v>
      </c>
      <c r="C7" s="8" t="s">
        <v>56</v>
      </c>
      <c r="D7" s="8" t="s">
        <v>41</v>
      </c>
      <c r="E7" s="9" t="n">
        <v>420</v>
      </c>
      <c r="F7" s="9" t="n">
        <v>435</v>
      </c>
      <c r="G7" s="9" t="n">
        <v>485</v>
      </c>
      <c r="H7" s="9" t="n">
        <v>491</v>
      </c>
      <c r="I7" s="8" t="s">
        <v>42</v>
      </c>
      <c r="J7" s="9" t="n">
        <v>480</v>
      </c>
      <c r="K7" s="10" t="n">
        <f aca="false">IF(AND(ISNUMBER(J7),E7&gt;0),J7/E7-1,"")</f>
        <v>0.142857142857143</v>
      </c>
      <c r="L7" s="11"/>
      <c r="M7" s="12"/>
      <c r="N7" s="13" t="n">
        <f aca="false">IF(L7="Своя ціна",M7,IF(L7="Прийняти",IF(ISNUMBER(J7),J7,E7),E7))</f>
        <v>420</v>
      </c>
      <c r="O7" s="8" t="s">
        <v>57</v>
      </c>
      <c r="P7" s="14" t="s">
        <v>58</v>
      </c>
    </row>
    <row r="8" customFormat="false" ht="168.65" hidden="false" customHeight="false" outlineLevel="0" collapsed="false">
      <c r="A8" s="8" t="s">
        <v>9</v>
      </c>
      <c r="B8" s="8" t="s">
        <v>59</v>
      </c>
      <c r="C8" s="8" t="s">
        <v>60</v>
      </c>
      <c r="D8" s="8" t="s">
        <v>61</v>
      </c>
      <c r="E8" s="9" t="n">
        <v>196</v>
      </c>
      <c r="F8" s="9" t="n">
        <v>150</v>
      </c>
      <c r="G8" s="9" t="n">
        <v>240</v>
      </c>
      <c r="H8" s="9" t="n">
        <v>300</v>
      </c>
      <c r="I8" s="8" t="s">
        <v>42</v>
      </c>
      <c r="J8" s="9" t="n">
        <v>240</v>
      </c>
      <c r="K8" s="10" t="n">
        <f aca="false">IF(AND(ISNUMBER(J8),E8&gt;0),J8/E8-1,"")</f>
        <v>0.224489795918367</v>
      </c>
      <c r="L8" s="11"/>
      <c r="M8" s="12"/>
      <c r="N8" s="13" t="n">
        <f aca="false">IF(L8="Своя ціна",M8,IF(L8="Прийняти",IF(ISNUMBER(J8),J8,E8),E8))</f>
        <v>196</v>
      </c>
      <c r="O8" s="8"/>
      <c r="P8" s="14" t="s">
        <v>62</v>
      </c>
    </row>
    <row r="9" customFormat="false" ht="179.1" hidden="false" customHeight="false" outlineLevel="0" collapsed="false">
      <c r="A9" s="8" t="s">
        <v>9</v>
      </c>
      <c r="B9" s="8" t="s">
        <v>59</v>
      </c>
      <c r="C9" s="8" t="s">
        <v>63</v>
      </c>
      <c r="D9" s="8" t="s">
        <v>49</v>
      </c>
      <c r="E9" s="9" t="n">
        <v>367</v>
      </c>
      <c r="F9" s="9" t="n">
        <v>300</v>
      </c>
      <c r="G9" s="9" t="n">
        <v>463</v>
      </c>
      <c r="H9" s="9" t="n">
        <v>550</v>
      </c>
      <c r="I9" s="8" t="s">
        <v>42</v>
      </c>
      <c r="J9" s="9" t="n">
        <v>460</v>
      </c>
      <c r="K9" s="10" t="n">
        <f aca="false">IF(AND(ISNUMBER(J9),E9&gt;0),J9/E9-1,"")</f>
        <v>0.253405994550409</v>
      </c>
      <c r="L9" s="11"/>
      <c r="M9" s="12"/>
      <c r="N9" s="13" t="n">
        <f aca="false">IF(L9="Своя ціна",M9,IF(L9="Прийняти",IF(ISNUMBER(J9),J9,E9),E9))</f>
        <v>367</v>
      </c>
      <c r="O9" s="8"/>
      <c r="P9" s="14" t="s">
        <v>64</v>
      </c>
    </row>
    <row r="10" customFormat="false" ht="158.2" hidden="false" customHeight="false" outlineLevel="0" collapsed="false">
      <c r="A10" s="8" t="s">
        <v>9</v>
      </c>
      <c r="B10" s="8" t="s">
        <v>59</v>
      </c>
      <c r="C10" s="8" t="s">
        <v>65</v>
      </c>
      <c r="D10" s="8" t="s">
        <v>49</v>
      </c>
      <c r="E10" s="9" t="n">
        <v>130</v>
      </c>
      <c r="F10" s="9" t="n">
        <v>100</v>
      </c>
      <c r="G10" s="9" t="n">
        <v>228</v>
      </c>
      <c r="H10" s="9" t="n">
        <v>250</v>
      </c>
      <c r="I10" s="8" t="s">
        <v>42</v>
      </c>
      <c r="J10" s="9" t="n">
        <v>220</v>
      </c>
      <c r="K10" s="10" t="n">
        <f aca="false">IF(AND(ISNUMBER(J10),E10&gt;0),J10/E10-1,"")</f>
        <v>0.692307692307692</v>
      </c>
      <c r="L10" s="11"/>
      <c r="M10" s="12"/>
      <c r="N10" s="13" t="n">
        <f aca="false">IF(L10="Своя ціна",M10,IF(L10="Прийняти",IF(ISNUMBER(J10),J10,E10),E10))</f>
        <v>130</v>
      </c>
      <c r="O10" s="8" t="s">
        <v>66</v>
      </c>
      <c r="P10" s="14" t="s">
        <v>67</v>
      </c>
    </row>
    <row r="11" customFormat="false" ht="179.1" hidden="false" customHeight="false" outlineLevel="0" collapsed="false">
      <c r="A11" s="8" t="s">
        <v>9</v>
      </c>
      <c r="B11" s="8" t="s">
        <v>59</v>
      </c>
      <c r="C11" s="8" t="s">
        <v>68</v>
      </c>
      <c r="D11" s="8" t="s">
        <v>41</v>
      </c>
      <c r="E11" s="9" t="n">
        <v>241</v>
      </c>
      <c r="F11" s="9" t="n">
        <v>200</v>
      </c>
      <c r="G11" s="9" t="n">
        <v>290</v>
      </c>
      <c r="H11" s="9" t="n">
        <v>369</v>
      </c>
      <c r="I11" s="8" t="s">
        <v>42</v>
      </c>
      <c r="J11" s="9" t="n">
        <v>290</v>
      </c>
      <c r="K11" s="10" t="n">
        <f aca="false">IF(AND(ISNUMBER(J11),E11&gt;0),J11/E11-1,"")</f>
        <v>0.203319502074689</v>
      </c>
      <c r="L11" s="11"/>
      <c r="M11" s="12"/>
      <c r="N11" s="13" t="n">
        <f aca="false">IF(L11="Своя ціна",M11,IF(L11="Прийняти",IF(ISNUMBER(J11),J11,E11),E11))</f>
        <v>241</v>
      </c>
      <c r="O11" s="8" t="s">
        <v>69</v>
      </c>
      <c r="P11" s="14" t="s">
        <v>70</v>
      </c>
    </row>
    <row r="12" customFormat="false" ht="168.65" hidden="false" customHeight="false" outlineLevel="0" collapsed="false">
      <c r="A12" s="8" t="s">
        <v>9</v>
      </c>
      <c r="B12" s="8" t="s">
        <v>59</v>
      </c>
      <c r="C12" s="8" t="s">
        <v>71</v>
      </c>
      <c r="D12" s="8" t="s">
        <v>41</v>
      </c>
      <c r="E12" s="9" t="n">
        <v>116</v>
      </c>
      <c r="F12" s="9" t="n">
        <v>50</v>
      </c>
      <c r="G12" s="9" t="n">
        <v>173</v>
      </c>
      <c r="H12" s="9" t="n">
        <v>200</v>
      </c>
      <c r="I12" s="8" t="s">
        <v>42</v>
      </c>
      <c r="J12" s="9" t="n">
        <v>170</v>
      </c>
      <c r="K12" s="10" t="n">
        <f aca="false">IF(AND(ISNUMBER(J12),E12&gt;0),J12/E12-1,"")</f>
        <v>0.46551724137931</v>
      </c>
      <c r="L12" s="11"/>
      <c r="M12" s="12"/>
      <c r="N12" s="13" t="n">
        <f aca="false">IF(L12="Своя ціна",M12,IF(L12="Прийняти",IF(ISNUMBER(J12),J12,E12),E12))</f>
        <v>116</v>
      </c>
      <c r="O12" s="8" t="s">
        <v>72</v>
      </c>
      <c r="P12" s="14" t="s">
        <v>73</v>
      </c>
    </row>
    <row r="13" customFormat="false" ht="137.3" hidden="false" customHeight="false" outlineLevel="0" collapsed="false">
      <c r="A13" s="8" t="s">
        <v>9</v>
      </c>
      <c r="B13" s="8" t="s">
        <v>59</v>
      </c>
      <c r="C13" s="8" t="s">
        <v>74</v>
      </c>
      <c r="D13" s="8" t="s">
        <v>41</v>
      </c>
      <c r="E13" s="9" t="n">
        <v>342</v>
      </c>
      <c r="F13" s="9" t="n">
        <v>350</v>
      </c>
      <c r="G13" s="9" t="n">
        <v>400</v>
      </c>
      <c r="H13" s="9" t="n">
        <v>500</v>
      </c>
      <c r="I13" s="8" t="s">
        <v>42</v>
      </c>
      <c r="J13" s="9" t="n">
        <v>400</v>
      </c>
      <c r="K13" s="10" t="n">
        <f aca="false">IF(AND(ISNUMBER(J13),E13&gt;0),J13/E13-1,"")</f>
        <v>0.169590643274854</v>
      </c>
      <c r="L13" s="11"/>
      <c r="M13" s="12"/>
      <c r="N13" s="13" t="n">
        <f aca="false">IF(L13="Своя ціна",M13,IF(L13="Прийняти",IF(ISNUMBER(J13),J13,E13),E13))</f>
        <v>342</v>
      </c>
      <c r="O13" s="8" t="s">
        <v>75</v>
      </c>
      <c r="P13" s="14" t="s">
        <v>76</v>
      </c>
    </row>
    <row r="14" customFormat="false" ht="105.95" hidden="false" customHeight="false" outlineLevel="0" collapsed="false">
      <c r="A14" s="8" t="s">
        <v>9</v>
      </c>
      <c r="B14" s="8" t="s">
        <v>59</v>
      </c>
      <c r="C14" s="8" t="s">
        <v>77</v>
      </c>
      <c r="D14" s="8" t="s">
        <v>41</v>
      </c>
      <c r="E14" s="9" t="n">
        <v>0</v>
      </c>
      <c r="F14" s="9" t="n">
        <v>660</v>
      </c>
      <c r="G14" s="9" t="n">
        <v>1022</v>
      </c>
      <c r="H14" s="9" t="n">
        <v>1105</v>
      </c>
      <c r="I14" s="8" t="s">
        <v>42</v>
      </c>
      <c r="J14" s="9" t="n">
        <v>1000</v>
      </c>
      <c r="K14" s="10" t="str">
        <f aca="false">IF(AND(ISNUMBER(J14),E14&gt;0),J14/E14-1,"")</f>
        <v/>
      </c>
      <c r="L14" s="11"/>
      <c r="M14" s="12"/>
      <c r="N14" s="13" t="n">
        <f aca="false">IF(L14="Своя ціна",M14,IF(L14="Прийняти",IF(ISNUMBER(J14),J14,E14),E14))</f>
        <v>0</v>
      </c>
      <c r="O14" s="8" t="s">
        <v>78</v>
      </c>
      <c r="P14" s="14" t="s">
        <v>79</v>
      </c>
    </row>
    <row r="15" customFormat="false" ht="105.95" hidden="false" customHeight="false" outlineLevel="0" collapsed="false">
      <c r="A15" s="8" t="s">
        <v>9</v>
      </c>
      <c r="B15" s="8" t="s">
        <v>59</v>
      </c>
      <c r="C15" s="8" t="s">
        <v>80</v>
      </c>
      <c r="D15" s="8" t="s">
        <v>41</v>
      </c>
      <c r="E15" s="9" t="n">
        <v>866</v>
      </c>
      <c r="F15" s="9" t="n">
        <v>800</v>
      </c>
      <c r="G15" s="9" t="n">
        <v>1012</v>
      </c>
      <c r="H15" s="9" t="n">
        <v>1267</v>
      </c>
      <c r="I15" s="8" t="s">
        <v>42</v>
      </c>
      <c r="J15" s="9" t="n">
        <v>1000</v>
      </c>
      <c r="K15" s="10" t="n">
        <f aca="false">IF(AND(ISNUMBER(J15),E15&gt;0),J15/E15-1,"")</f>
        <v>0.15473441108545</v>
      </c>
      <c r="L15" s="11"/>
      <c r="M15" s="12"/>
      <c r="N15" s="13" t="n">
        <f aca="false">IF(L15="Своя ціна",M15,IF(L15="Прийняти",IF(ISNUMBER(J15),J15,E15),E15))</f>
        <v>866</v>
      </c>
      <c r="O15" s="8"/>
      <c r="P15" s="14" t="s">
        <v>81</v>
      </c>
    </row>
    <row r="16" customFormat="false" ht="116.4" hidden="false" customHeight="false" outlineLevel="0" collapsed="false">
      <c r="A16" s="8" t="s">
        <v>9</v>
      </c>
      <c r="B16" s="8" t="s">
        <v>59</v>
      </c>
      <c r="C16" s="8" t="s">
        <v>82</v>
      </c>
      <c r="D16" s="8" t="s">
        <v>41</v>
      </c>
      <c r="E16" s="9" t="n">
        <v>891</v>
      </c>
      <c r="F16" s="9" t="n">
        <v>770</v>
      </c>
      <c r="G16" s="9" t="n">
        <v>1080</v>
      </c>
      <c r="H16" s="9" t="n">
        <v>1244</v>
      </c>
      <c r="I16" s="8" t="s">
        <v>42</v>
      </c>
      <c r="J16" s="9" t="n">
        <v>1100</v>
      </c>
      <c r="K16" s="10" t="n">
        <f aca="false">IF(AND(ISNUMBER(J16),E16&gt;0),J16/E16-1,"")</f>
        <v>0.234567901234568</v>
      </c>
      <c r="L16" s="11"/>
      <c r="M16" s="12"/>
      <c r="N16" s="13" t="n">
        <f aca="false">IF(L16="Своя ціна",M16,IF(L16="Прийняти",IF(ISNUMBER(J16),J16,E16),E16))</f>
        <v>891</v>
      </c>
      <c r="O16" s="8" t="s">
        <v>83</v>
      </c>
      <c r="P16" s="14" t="s">
        <v>84</v>
      </c>
    </row>
    <row r="17" customFormat="false" ht="74.6" hidden="false" customHeight="false" outlineLevel="0" collapsed="false">
      <c r="A17" s="8" t="s">
        <v>9</v>
      </c>
      <c r="B17" s="8" t="s">
        <v>59</v>
      </c>
      <c r="C17" s="8" t="s">
        <v>85</v>
      </c>
      <c r="D17" s="8" t="s">
        <v>41</v>
      </c>
      <c r="E17" s="9" t="n">
        <v>1130</v>
      </c>
      <c r="F17" s="9" t="n">
        <v>1250</v>
      </c>
      <c r="G17" s="9" t="n">
        <v>1345</v>
      </c>
      <c r="H17" s="9" t="n">
        <v>1440</v>
      </c>
      <c r="I17" s="8" t="s">
        <v>42</v>
      </c>
      <c r="J17" s="9" t="n">
        <v>1300</v>
      </c>
      <c r="K17" s="10" t="n">
        <f aca="false">IF(AND(ISNUMBER(J17),E17&gt;0),J17/E17-1,"")</f>
        <v>0.150442477876106</v>
      </c>
      <c r="L17" s="11"/>
      <c r="M17" s="12"/>
      <c r="N17" s="13" t="n">
        <f aca="false">IF(L17="Своя ціна",M17,IF(L17="Прийняти",IF(ISNUMBER(J17),J17,E17),E17))</f>
        <v>1130</v>
      </c>
      <c r="O17" s="8"/>
      <c r="P17" s="14" t="s">
        <v>86</v>
      </c>
    </row>
    <row r="18" customFormat="false" ht="126.85" hidden="false" customHeight="false" outlineLevel="0" collapsed="false">
      <c r="A18" s="8" t="s">
        <v>9</v>
      </c>
      <c r="B18" s="8" t="s">
        <v>59</v>
      </c>
      <c r="C18" s="8" t="s">
        <v>87</v>
      </c>
      <c r="D18" s="8" t="s">
        <v>41</v>
      </c>
      <c r="E18" s="9" t="n">
        <v>641</v>
      </c>
      <c r="F18" s="9" t="n">
        <v>500</v>
      </c>
      <c r="G18" s="9" t="n">
        <v>820</v>
      </c>
      <c r="H18" s="9" t="n">
        <v>985</v>
      </c>
      <c r="I18" s="8" t="s">
        <v>42</v>
      </c>
      <c r="J18" s="9" t="n">
        <v>800</v>
      </c>
      <c r="K18" s="10" t="n">
        <f aca="false">IF(AND(ISNUMBER(J18),E18&gt;0),J18/E18-1,"")</f>
        <v>0.24804992199688</v>
      </c>
      <c r="L18" s="11"/>
      <c r="M18" s="12"/>
      <c r="N18" s="13" t="n">
        <f aca="false">IF(L18="Своя ціна",M18,IF(L18="Прийняти",IF(ISNUMBER(J18),J18,E18),E18))</f>
        <v>641</v>
      </c>
      <c r="O18" s="8" t="s">
        <v>88</v>
      </c>
      <c r="P18" s="14" t="s">
        <v>89</v>
      </c>
    </row>
    <row r="19" customFormat="false" ht="231.3" hidden="false" customHeight="false" outlineLevel="0" collapsed="false">
      <c r="A19" s="8" t="s">
        <v>9</v>
      </c>
      <c r="B19" s="8" t="s">
        <v>59</v>
      </c>
      <c r="C19" s="8" t="s">
        <v>90</v>
      </c>
      <c r="D19" s="8" t="s">
        <v>41</v>
      </c>
      <c r="E19" s="9" t="n">
        <v>594</v>
      </c>
      <c r="F19" s="9" t="n">
        <v>500</v>
      </c>
      <c r="G19" s="9" t="n">
        <v>850</v>
      </c>
      <c r="H19" s="9" t="n">
        <v>1033</v>
      </c>
      <c r="I19" s="8" t="s">
        <v>42</v>
      </c>
      <c r="J19" s="9" t="n">
        <v>850</v>
      </c>
      <c r="K19" s="10" t="n">
        <f aca="false">IF(AND(ISNUMBER(J19),E19&gt;0),J19/E19-1,"")</f>
        <v>0.430976430976431</v>
      </c>
      <c r="L19" s="11"/>
      <c r="M19" s="12"/>
      <c r="N19" s="13" t="n">
        <f aca="false">IF(L19="Своя ціна",M19,IF(L19="Прийняти",IF(ISNUMBER(J19),J19,E19),E19))</f>
        <v>594</v>
      </c>
      <c r="O19" s="8" t="s">
        <v>91</v>
      </c>
      <c r="P19" s="14" t="s">
        <v>92</v>
      </c>
    </row>
    <row r="20" customFormat="false" ht="137.3" hidden="false" customHeight="false" outlineLevel="0" collapsed="false">
      <c r="A20" s="8" t="s">
        <v>9</v>
      </c>
      <c r="B20" s="8" t="s">
        <v>59</v>
      </c>
      <c r="C20" s="8" t="s">
        <v>93</v>
      </c>
      <c r="D20" s="8" t="s">
        <v>41</v>
      </c>
      <c r="E20" s="9" t="n">
        <v>732</v>
      </c>
      <c r="F20" s="9" t="n">
        <v>800</v>
      </c>
      <c r="G20" s="9" t="n">
        <v>876</v>
      </c>
      <c r="H20" s="9" t="n">
        <v>950</v>
      </c>
      <c r="I20" s="8" t="s">
        <v>42</v>
      </c>
      <c r="J20" s="9" t="n">
        <v>880</v>
      </c>
      <c r="K20" s="10" t="n">
        <f aca="false">IF(AND(ISNUMBER(J20),E20&gt;0),J20/E20-1,"")</f>
        <v>0.202185792349727</v>
      </c>
      <c r="L20" s="11"/>
      <c r="M20" s="12"/>
      <c r="N20" s="13" t="n">
        <f aca="false">IF(L20="Своя ціна",M20,IF(L20="Прийняти",IF(ISNUMBER(J20),J20,E20),E20))</f>
        <v>732</v>
      </c>
      <c r="O20" s="8" t="s">
        <v>94</v>
      </c>
      <c r="P20" s="14" t="s">
        <v>95</v>
      </c>
    </row>
    <row r="21" customFormat="false" ht="210.4" hidden="false" customHeight="false" outlineLevel="0" collapsed="false">
      <c r="A21" s="8" t="s">
        <v>9</v>
      </c>
      <c r="B21" s="8" t="s">
        <v>59</v>
      </c>
      <c r="C21" s="8" t="s">
        <v>96</v>
      </c>
      <c r="D21" s="8" t="s">
        <v>41</v>
      </c>
      <c r="E21" s="9" t="n">
        <v>631</v>
      </c>
      <c r="F21" s="9" t="n">
        <v>600</v>
      </c>
      <c r="G21" s="9" t="n">
        <v>835</v>
      </c>
      <c r="H21" s="9" t="n">
        <v>985</v>
      </c>
      <c r="I21" s="8" t="s">
        <v>42</v>
      </c>
      <c r="J21" s="9" t="n">
        <v>830</v>
      </c>
      <c r="K21" s="10" t="n">
        <f aca="false">IF(AND(ISNUMBER(J21),E21&gt;0),J21/E21-1,"")</f>
        <v>0.315372424722662</v>
      </c>
      <c r="L21" s="11"/>
      <c r="M21" s="12"/>
      <c r="N21" s="13" t="n">
        <f aca="false">IF(L21="Своя ціна",M21,IF(L21="Прийняти",IF(ISNUMBER(J21),J21,E21),E21))</f>
        <v>631</v>
      </c>
      <c r="O21" s="8" t="s">
        <v>97</v>
      </c>
      <c r="P21" s="14" t="s">
        <v>98</v>
      </c>
    </row>
    <row r="22" customFormat="false" ht="85.05" hidden="false" customHeight="false" outlineLevel="0" collapsed="false">
      <c r="A22" s="8" t="s">
        <v>9</v>
      </c>
      <c r="B22" s="8" t="s">
        <v>59</v>
      </c>
      <c r="C22" s="8" t="s">
        <v>99</v>
      </c>
      <c r="D22" s="8" t="s">
        <v>41</v>
      </c>
      <c r="E22" s="9" t="n">
        <v>779</v>
      </c>
      <c r="F22" s="9" t="n">
        <v>816</v>
      </c>
      <c r="G22" s="9" t="n">
        <v>900</v>
      </c>
      <c r="H22" s="9" t="n">
        <v>950</v>
      </c>
      <c r="I22" s="8" t="s">
        <v>42</v>
      </c>
      <c r="J22" s="9" t="n">
        <v>900</v>
      </c>
      <c r="K22" s="10" t="n">
        <f aca="false">IF(AND(ISNUMBER(J22),E22&gt;0),J22/E22-1,"")</f>
        <v>0.155327342747112</v>
      </c>
      <c r="L22" s="11"/>
      <c r="M22" s="12"/>
      <c r="N22" s="13" t="n">
        <f aca="false">IF(L22="Своя ціна",M22,IF(L22="Прийняти",IF(ISNUMBER(J22),J22,E22),E22))</f>
        <v>779</v>
      </c>
      <c r="O22" s="8"/>
      <c r="P22" s="14" t="s">
        <v>100</v>
      </c>
    </row>
    <row r="23" customFormat="false" ht="116.4" hidden="false" customHeight="false" outlineLevel="0" collapsed="false">
      <c r="A23" s="8" t="s">
        <v>9</v>
      </c>
      <c r="B23" s="8" t="s">
        <v>59</v>
      </c>
      <c r="C23" s="8" t="s">
        <v>101</v>
      </c>
      <c r="D23" s="8" t="s">
        <v>41</v>
      </c>
      <c r="E23" s="9" t="n">
        <v>998</v>
      </c>
      <c r="F23" s="9" t="n">
        <v>620</v>
      </c>
      <c r="G23" s="9" t="n">
        <v>1297</v>
      </c>
      <c r="H23" s="9" t="n">
        <v>1513</v>
      </c>
      <c r="I23" s="8" t="s">
        <v>42</v>
      </c>
      <c r="J23" s="9" t="n">
        <v>1300</v>
      </c>
      <c r="K23" s="10" t="n">
        <f aca="false">IF(AND(ISNUMBER(J23),E23&gt;0),J23/E23-1,"")</f>
        <v>0.302605210420842</v>
      </c>
      <c r="L23" s="11"/>
      <c r="M23" s="12"/>
      <c r="N23" s="13" t="n">
        <f aca="false">IF(L23="Своя ціна",M23,IF(L23="Прийняти",IF(ISNUMBER(J23),J23,E23),E23))</f>
        <v>998</v>
      </c>
      <c r="O23" s="8" t="s">
        <v>102</v>
      </c>
      <c r="P23" s="14" t="s">
        <v>103</v>
      </c>
    </row>
    <row r="24" customFormat="false" ht="53.7" hidden="false" customHeight="false" outlineLevel="0" collapsed="false">
      <c r="A24" s="8" t="s">
        <v>9</v>
      </c>
      <c r="B24" s="8" t="s">
        <v>39</v>
      </c>
      <c r="C24" s="8" t="s">
        <v>104</v>
      </c>
      <c r="D24" s="8" t="s">
        <v>49</v>
      </c>
      <c r="E24" s="9" t="n">
        <v>400</v>
      </c>
      <c r="F24" s="9" t="n">
        <v>150</v>
      </c>
      <c r="G24" s="9" t="n">
        <v>209</v>
      </c>
      <c r="H24" s="9" t="n">
        <v>215</v>
      </c>
      <c r="I24" s="8" t="s">
        <v>105</v>
      </c>
      <c r="J24" s="9" t="n">
        <v>210</v>
      </c>
      <c r="K24" s="10" t="n">
        <f aca="false">IF(AND(ISNUMBER(J24),E24&gt;0),J24/E24-1,"")</f>
        <v>-0.475</v>
      </c>
      <c r="L24" s="11"/>
      <c r="M24" s="12"/>
      <c r="N24" s="13" t="n">
        <f aca="false">IF(L24="Своя ціна",M24,IF(L24="Прийняти",IF(ISNUMBER(J24),J24,E24),E24))</f>
        <v>400</v>
      </c>
      <c r="O24" s="8" t="s">
        <v>106</v>
      </c>
      <c r="P24" s="14" t="s">
        <v>107</v>
      </c>
    </row>
    <row r="25" customFormat="false" ht="43.25" hidden="false" customHeight="false" outlineLevel="0" collapsed="false">
      <c r="A25" s="8" t="s">
        <v>9</v>
      </c>
      <c r="B25" s="8" t="s">
        <v>39</v>
      </c>
      <c r="C25" s="8" t="s">
        <v>108</v>
      </c>
      <c r="D25" s="8" t="s">
        <v>41</v>
      </c>
      <c r="E25" s="9" t="n">
        <v>302</v>
      </c>
      <c r="F25" s="9" t="n">
        <v>130</v>
      </c>
      <c r="G25" s="9" t="n">
        <v>145</v>
      </c>
      <c r="H25" s="9" t="n">
        <v>160</v>
      </c>
      <c r="I25" s="8" t="s">
        <v>105</v>
      </c>
      <c r="J25" s="9" t="n">
        <v>160</v>
      </c>
      <c r="K25" s="10" t="n">
        <f aca="false">IF(AND(ISNUMBER(J25),E25&gt;0),J25/E25-1,"")</f>
        <v>-0.470198675496689</v>
      </c>
      <c r="L25" s="11"/>
      <c r="M25" s="12"/>
      <c r="N25" s="13" t="n">
        <f aca="false">IF(L25="Своя ціна",M25,IF(L25="Прийняти",IF(ISNUMBER(J25),J25,E25),E25))</f>
        <v>302</v>
      </c>
      <c r="O25" s="8" t="s">
        <v>109</v>
      </c>
      <c r="P25" s="14" t="s">
        <v>110</v>
      </c>
    </row>
    <row r="26" customFormat="false" ht="53.7" hidden="false" customHeight="false" outlineLevel="0" collapsed="false">
      <c r="A26" s="8" t="s">
        <v>9</v>
      </c>
      <c r="B26" s="8" t="s">
        <v>39</v>
      </c>
      <c r="C26" s="8" t="s">
        <v>111</v>
      </c>
      <c r="D26" s="8" t="s">
        <v>41</v>
      </c>
      <c r="E26" s="9" t="n">
        <v>134</v>
      </c>
      <c r="F26" s="9" t="n">
        <v>60</v>
      </c>
      <c r="G26" s="9" t="n">
        <v>60</v>
      </c>
      <c r="H26" s="9" t="n">
        <v>64</v>
      </c>
      <c r="I26" s="8" t="s">
        <v>105</v>
      </c>
      <c r="J26" s="9" t="n">
        <v>60</v>
      </c>
      <c r="K26" s="10" t="n">
        <f aca="false">IF(AND(ISNUMBER(J26),E26&gt;0),J26/E26-1,"")</f>
        <v>-0.552238805970149</v>
      </c>
      <c r="L26" s="11"/>
      <c r="M26" s="12"/>
      <c r="N26" s="13" t="n">
        <f aca="false">IF(L26="Своя ціна",M26,IF(L26="Прийняти",IF(ISNUMBER(J26),J26,E26),E26))</f>
        <v>134</v>
      </c>
      <c r="O26" s="8" t="s">
        <v>112</v>
      </c>
      <c r="P26" s="14" t="s">
        <v>113</v>
      </c>
    </row>
    <row r="27" customFormat="false" ht="64.15" hidden="false" customHeight="false" outlineLevel="0" collapsed="false">
      <c r="A27" s="8" t="s">
        <v>9</v>
      </c>
      <c r="B27" s="8" t="s">
        <v>39</v>
      </c>
      <c r="C27" s="8" t="s">
        <v>114</v>
      </c>
      <c r="D27" s="8" t="s">
        <v>41</v>
      </c>
      <c r="E27" s="9" t="n">
        <v>250</v>
      </c>
      <c r="F27" s="9" t="n">
        <v>175</v>
      </c>
      <c r="G27" s="9" t="n">
        <v>202</v>
      </c>
      <c r="H27" s="9" t="n">
        <v>217</v>
      </c>
      <c r="I27" s="8" t="s">
        <v>105</v>
      </c>
      <c r="J27" s="9" t="n">
        <v>210</v>
      </c>
      <c r="K27" s="10" t="n">
        <f aca="false">IF(AND(ISNUMBER(J27),E27&gt;0),J27/E27-1,"")</f>
        <v>-0.16</v>
      </c>
      <c r="L27" s="11"/>
      <c r="M27" s="12"/>
      <c r="N27" s="13" t="n">
        <f aca="false">IF(L27="Своя ціна",M27,IF(L27="Прийняти",IF(ISNUMBER(J27),J27,E27),E27))</f>
        <v>250</v>
      </c>
      <c r="O27" s="8" t="s">
        <v>115</v>
      </c>
      <c r="P27" s="14" t="s">
        <v>116</v>
      </c>
    </row>
    <row r="28" customFormat="false" ht="74.6" hidden="false" customHeight="false" outlineLevel="0" collapsed="false">
      <c r="A28" s="8" t="s">
        <v>9</v>
      </c>
      <c r="B28" s="8" t="s">
        <v>59</v>
      </c>
      <c r="C28" s="8" t="s">
        <v>117</v>
      </c>
      <c r="D28" s="8" t="s">
        <v>41</v>
      </c>
      <c r="E28" s="9" t="n">
        <v>392</v>
      </c>
      <c r="F28" s="9" t="n">
        <v>180</v>
      </c>
      <c r="G28" s="9" t="n">
        <v>203</v>
      </c>
      <c r="H28" s="9" t="n">
        <v>226</v>
      </c>
      <c r="I28" s="8" t="s">
        <v>105</v>
      </c>
      <c r="J28" s="9" t="n">
        <v>230</v>
      </c>
      <c r="K28" s="10" t="n">
        <f aca="false">IF(AND(ISNUMBER(J28),E28&gt;0),J28/E28-1,"")</f>
        <v>-0.413265306122449</v>
      </c>
      <c r="L28" s="11"/>
      <c r="M28" s="12"/>
      <c r="N28" s="13" t="n">
        <f aca="false">IF(L28="Своя ціна",M28,IF(L28="Прийняти",IF(ISNUMBER(J28),J28,E28),E28))</f>
        <v>392</v>
      </c>
      <c r="O28" s="8" t="s">
        <v>118</v>
      </c>
      <c r="P28" s="14" t="s">
        <v>119</v>
      </c>
    </row>
    <row r="29" customFormat="false" ht="22.35" hidden="false" customHeight="false" outlineLevel="0" collapsed="false">
      <c r="A29" s="8" t="s">
        <v>9</v>
      </c>
      <c r="B29" s="8" t="s">
        <v>39</v>
      </c>
      <c r="C29" s="8" t="s">
        <v>120</v>
      </c>
      <c r="D29" s="8" t="s">
        <v>41</v>
      </c>
      <c r="E29" s="9" t="n">
        <v>500</v>
      </c>
      <c r="F29" s="9" t="n">
        <v>700</v>
      </c>
      <c r="G29" s="9" t="n">
        <v>700</v>
      </c>
      <c r="H29" s="9" t="n">
        <v>700</v>
      </c>
      <c r="I29" s="8" t="s">
        <v>121</v>
      </c>
      <c r="J29" s="9"/>
      <c r="K29" s="10" t="str">
        <f aca="false">IF(AND(ISNUMBER(J29),E29&gt;0),J29/E29-1,"")</f>
        <v/>
      </c>
      <c r="L29" s="11"/>
      <c r="M29" s="12"/>
      <c r="N29" s="13" t="n">
        <f aca="false">IF(L29="Своя ціна",M29,IF(L29="Прийняти",IF(ISNUMBER(J29),J29,E29),E29))</f>
        <v>500</v>
      </c>
      <c r="O29" s="8" t="s">
        <v>122</v>
      </c>
      <c r="P29" s="14" t="s">
        <v>123</v>
      </c>
    </row>
    <row r="30" customFormat="false" ht="74.6" hidden="false" customHeight="false" outlineLevel="0" collapsed="false">
      <c r="A30" s="8" t="s">
        <v>9</v>
      </c>
      <c r="B30" s="8" t="s">
        <v>59</v>
      </c>
      <c r="C30" s="8" t="s">
        <v>124</v>
      </c>
      <c r="D30" s="8" t="s">
        <v>41</v>
      </c>
      <c r="E30" s="9" t="n">
        <v>273</v>
      </c>
      <c r="F30" s="9" t="n">
        <v>292</v>
      </c>
      <c r="G30" s="9" t="n">
        <v>366</v>
      </c>
      <c r="H30" s="9" t="n">
        <v>440</v>
      </c>
      <c r="I30" s="8" t="s">
        <v>121</v>
      </c>
      <c r="J30" s="9"/>
      <c r="K30" s="10" t="str">
        <f aca="false">IF(AND(ISNUMBER(J30),E30&gt;0),J30/E30-1,"")</f>
        <v/>
      </c>
      <c r="L30" s="11"/>
      <c r="M30" s="12"/>
      <c r="N30" s="13" t="n">
        <f aca="false">IF(L30="Своя ціна",M30,IF(L30="Прийняти",IF(ISNUMBER(J30),J30,E30),E30))</f>
        <v>273</v>
      </c>
      <c r="O30" s="8" t="s">
        <v>125</v>
      </c>
      <c r="P30" s="14" t="s">
        <v>126</v>
      </c>
    </row>
    <row r="31" customFormat="false" ht="53.7" hidden="false" customHeight="false" outlineLevel="0" collapsed="false">
      <c r="A31" s="8" t="s">
        <v>9</v>
      </c>
      <c r="B31" s="8" t="s">
        <v>39</v>
      </c>
      <c r="C31" s="8" t="s">
        <v>127</v>
      </c>
      <c r="D31" s="8" t="s">
        <v>41</v>
      </c>
      <c r="E31" s="9" t="n">
        <v>130</v>
      </c>
      <c r="F31" s="9" t="n">
        <v>85</v>
      </c>
      <c r="G31" s="9" t="n">
        <v>109</v>
      </c>
      <c r="H31" s="9" t="n">
        <v>126</v>
      </c>
      <c r="I31" s="8" t="s">
        <v>128</v>
      </c>
      <c r="J31" s="9"/>
      <c r="K31" s="10" t="str">
        <f aca="false">IF(AND(ISNUMBER(J31),E31&gt;0),J31/E31-1,"")</f>
        <v/>
      </c>
      <c r="L31" s="11"/>
      <c r="M31" s="12"/>
      <c r="N31" s="13" t="n">
        <f aca="false">IF(L31="Своя ціна",M31,IF(L31="Прийняти",IF(ISNUMBER(J31),J31,E31),E31))</f>
        <v>130</v>
      </c>
      <c r="O31" s="8"/>
      <c r="P31" s="14" t="s">
        <v>129</v>
      </c>
    </row>
    <row r="32" customFormat="false" ht="126.85" hidden="false" customHeight="false" outlineLevel="0" collapsed="false">
      <c r="A32" s="8" t="s">
        <v>9</v>
      </c>
      <c r="B32" s="8" t="s">
        <v>39</v>
      </c>
      <c r="C32" s="8" t="s">
        <v>130</v>
      </c>
      <c r="D32" s="8" t="s">
        <v>41</v>
      </c>
      <c r="E32" s="9" t="n">
        <v>300</v>
      </c>
      <c r="F32" s="9" t="n">
        <v>250</v>
      </c>
      <c r="G32" s="9" t="n">
        <v>300</v>
      </c>
      <c r="H32" s="9" t="n">
        <v>400</v>
      </c>
      <c r="I32" s="8" t="s">
        <v>128</v>
      </c>
      <c r="J32" s="9"/>
      <c r="K32" s="10" t="str">
        <f aca="false">IF(AND(ISNUMBER(J32),E32&gt;0),J32/E32-1,"")</f>
        <v/>
      </c>
      <c r="L32" s="11"/>
      <c r="M32" s="12"/>
      <c r="N32" s="13" t="n">
        <f aca="false">IF(L32="Своя ціна",M32,IF(L32="Прийняти",IF(ISNUMBER(J32),J32,E32),E32))</f>
        <v>300</v>
      </c>
      <c r="O32" s="8" t="s">
        <v>131</v>
      </c>
      <c r="P32" s="14" t="s">
        <v>132</v>
      </c>
    </row>
    <row r="33" customFormat="false" ht="53.7" hidden="false" customHeight="false" outlineLevel="0" collapsed="false">
      <c r="A33" s="8" t="s">
        <v>9</v>
      </c>
      <c r="B33" s="8" t="s">
        <v>39</v>
      </c>
      <c r="C33" s="8" t="s">
        <v>133</v>
      </c>
      <c r="D33" s="8" t="s">
        <v>49</v>
      </c>
      <c r="E33" s="9" t="n">
        <v>200</v>
      </c>
      <c r="F33" s="9" t="n">
        <v>150</v>
      </c>
      <c r="G33" s="9" t="n">
        <v>209</v>
      </c>
      <c r="H33" s="9" t="n">
        <v>215</v>
      </c>
      <c r="I33" s="8" t="s">
        <v>128</v>
      </c>
      <c r="J33" s="9"/>
      <c r="K33" s="10" t="str">
        <f aca="false">IF(AND(ISNUMBER(J33),E33&gt;0),J33/E33-1,"")</f>
        <v/>
      </c>
      <c r="L33" s="11"/>
      <c r="M33" s="12"/>
      <c r="N33" s="13" t="n">
        <f aca="false">IF(L33="Своя ціна",M33,IF(L33="Прийняти",IF(ISNUMBER(J33),J33,E33),E33))</f>
        <v>200</v>
      </c>
      <c r="O33" s="8"/>
      <c r="P33" s="14" t="s">
        <v>134</v>
      </c>
    </row>
    <row r="34" customFormat="false" ht="53.7" hidden="false" customHeight="false" outlineLevel="0" collapsed="false">
      <c r="A34" s="8" t="s">
        <v>9</v>
      </c>
      <c r="B34" s="8" t="s">
        <v>39</v>
      </c>
      <c r="C34" s="8" t="s">
        <v>135</v>
      </c>
      <c r="D34" s="8" t="s">
        <v>49</v>
      </c>
      <c r="E34" s="9" t="n">
        <v>250</v>
      </c>
      <c r="F34" s="9" t="n">
        <v>175</v>
      </c>
      <c r="G34" s="9" t="n">
        <v>248</v>
      </c>
      <c r="H34" s="9" t="n">
        <v>262</v>
      </c>
      <c r="I34" s="8" t="s">
        <v>128</v>
      </c>
      <c r="J34" s="9"/>
      <c r="K34" s="10" t="str">
        <f aca="false">IF(AND(ISNUMBER(J34),E34&gt;0),J34/E34-1,"")</f>
        <v/>
      </c>
      <c r="L34" s="11"/>
      <c r="M34" s="12"/>
      <c r="N34" s="13" t="n">
        <f aca="false">IF(L34="Своя ціна",M34,IF(L34="Прийняти",IF(ISNUMBER(J34),J34,E34),E34))</f>
        <v>250</v>
      </c>
      <c r="O34" s="8"/>
      <c r="P34" s="14" t="s">
        <v>136</v>
      </c>
    </row>
    <row r="35" customFormat="false" ht="74.6" hidden="false" customHeight="false" outlineLevel="0" collapsed="false">
      <c r="A35" s="8" t="s">
        <v>9</v>
      </c>
      <c r="B35" s="8" t="s">
        <v>39</v>
      </c>
      <c r="C35" s="8" t="s">
        <v>137</v>
      </c>
      <c r="D35" s="8" t="s">
        <v>49</v>
      </c>
      <c r="E35" s="9" t="n">
        <v>150</v>
      </c>
      <c r="F35" s="9" t="n">
        <v>80</v>
      </c>
      <c r="G35" s="9" t="n">
        <v>135</v>
      </c>
      <c r="H35" s="9" t="n">
        <v>150</v>
      </c>
      <c r="I35" s="8" t="s">
        <v>128</v>
      </c>
      <c r="J35" s="9"/>
      <c r="K35" s="10" t="str">
        <f aca="false">IF(AND(ISNUMBER(J35),E35&gt;0),J35/E35-1,"")</f>
        <v/>
      </c>
      <c r="L35" s="11"/>
      <c r="M35" s="12"/>
      <c r="N35" s="13" t="n">
        <f aca="false">IF(L35="Своя ціна",M35,IF(L35="Прийняти",IF(ISNUMBER(J35),J35,E35),E35))</f>
        <v>150</v>
      </c>
      <c r="O35" s="8"/>
      <c r="P35" s="14" t="s">
        <v>138</v>
      </c>
    </row>
    <row r="36" customFormat="false" ht="74.6" hidden="false" customHeight="false" outlineLevel="0" collapsed="false">
      <c r="A36" s="8" t="s">
        <v>9</v>
      </c>
      <c r="B36" s="8" t="s">
        <v>39</v>
      </c>
      <c r="C36" s="8" t="s">
        <v>139</v>
      </c>
      <c r="D36" s="8" t="s">
        <v>49</v>
      </c>
      <c r="E36" s="9" t="n">
        <v>280</v>
      </c>
      <c r="F36" s="9" t="n">
        <v>215</v>
      </c>
      <c r="G36" s="9" t="n">
        <v>261</v>
      </c>
      <c r="H36" s="9" t="n">
        <v>280</v>
      </c>
      <c r="I36" s="8" t="s">
        <v>128</v>
      </c>
      <c r="J36" s="9"/>
      <c r="K36" s="10" t="str">
        <f aca="false">IF(AND(ISNUMBER(J36),E36&gt;0),J36/E36-1,"")</f>
        <v/>
      </c>
      <c r="L36" s="11"/>
      <c r="M36" s="12"/>
      <c r="N36" s="13" t="n">
        <f aca="false">IF(L36="Своя ціна",M36,IF(L36="Прийняти",IF(ISNUMBER(J36),J36,E36),E36))</f>
        <v>280</v>
      </c>
      <c r="O36" s="8"/>
      <c r="P36" s="14" t="s">
        <v>140</v>
      </c>
    </row>
    <row r="37" customFormat="false" ht="85.05" hidden="false" customHeight="false" outlineLevel="0" collapsed="false">
      <c r="A37" s="8" t="s">
        <v>9</v>
      </c>
      <c r="B37" s="8" t="s">
        <v>39</v>
      </c>
      <c r="C37" s="8" t="s">
        <v>141</v>
      </c>
      <c r="D37" s="8" t="s">
        <v>41</v>
      </c>
      <c r="E37" s="9" t="n">
        <v>200</v>
      </c>
      <c r="F37" s="9" t="n">
        <v>150</v>
      </c>
      <c r="G37" s="9" t="n">
        <v>198</v>
      </c>
      <c r="H37" s="9" t="n">
        <v>250</v>
      </c>
      <c r="I37" s="8" t="s">
        <v>128</v>
      </c>
      <c r="J37" s="9"/>
      <c r="K37" s="10" t="str">
        <f aca="false">IF(AND(ISNUMBER(J37),E37&gt;0),J37/E37-1,"")</f>
        <v/>
      </c>
      <c r="L37" s="11"/>
      <c r="M37" s="12"/>
      <c r="N37" s="13" t="n">
        <f aca="false">IF(L37="Своя ціна",M37,IF(L37="Прийняти",IF(ISNUMBER(J37),J37,E37),E37))</f>
        <v>200</v>
      </c>
      <c r="O37" s="8"/>
      <c r="P37" s="14" t="s">
        <v>142</v>
      </c>
    </row>
    <row r="38" customFormat="false" ht="22.35" hidden="false" customHeight="false" outlineLevel="0" collapsed="false">
      <c r="A38" s="8" t="s">
        <v>9</v>
      </c>
      <c r="B38" s="8" t="s">
        <v>39</v>
      </c>
      <c r="C38" s="8" t="s">
        <v>143</v>
      </c>
      <c r="D38" s="8" t="s">
        <v>41</v>
      </c>
      <c r="E38" s="9" t="n">
        <v>421</v>
      </c>
      <c r="F38" s="9" t="n">
        <v>390</v>
      </c>
      <c r="G38" s="9" t="n">
        <v>423</v>
      </c>
      <c r="H38" s="9" t="n">
        <v>456</v>
      </c>
      <c r="I38" s="8" t="s">
        <v>128</v>
      </c>
      <c r="J38" s="9"/>
      <c r="K38" s="10" t="str">
        <f aca="false">IF(AND(ISNUMBER(J38),E38&gt;0),J38/E38-1,"")</f>
        <v/>
      </c>
      <c r="L38" s="11"/>
      <c r="M38" s="12"/>
      <c r="N38" s="13" t="n">
        <f aca="false">IF(L38="Своя ціна",M38,IF(L38="Прийняти",IF(ISNUMBER(J38),J38,E38),E38))</f>
        <v>421</v>
      </c>
      <c r="O38" s="8"/>
      <c r="P38" s="14" t="s">
        <v>144</v>
      </c>
    </row>
    <row r="39" customFormat="false" ht="53.7" hidden="false" customHeight="false" outlineLevel="0" collapsed="false">
      <c r="A39" s="8" t="s">
        <v>9</v>
      </c>
      <c r="B39" s="8" t="s">
        <v>39</v>
      </c>
      <c r="C39" s="8" t="s">
        <v>145</v>
      </c>
      <c r="D39" s="8" t="s">
        <v>41</v>
      </c>
      <c r="E39" s="9" t="n">
        <v>350</v>
      </c>
      <c r="F39" s="9" t="n">
        <v>350</v>
      </c>
      <c r="G39" s="9" t="n">
        <v>350</v>
      </c>
      <c r="H39" s="9" t="n">
        <v>450</v>
      </c>
      <c r="I39" s="8" t="s">
        <v>128</v>
      </c>
      <c r="J39" s="9"/>
      <c r="K39" s="10" t="str">
        <f aca="false">IF(AND(ISNUMBER(J39),E39&gt;0),J39/E39-1,"")</f>
        <v/>
      </c>
      <c r="L39" s="11"/>
      <c r="M39" s="12"/>
      <c r="N39" s="13" t="n">
        <f aca="false">IF(L39="Своя ціна",M39,IF(L39="Прийняти",IF(ISNUMBER(J39),J39,E39),E39))</f>
        <v>350</v>
      </c>
      <c r="O39" s="8"/>
      <c r="P39" s="14" t="s">
        <v>146</v>
      </c>
    </row>
    <row r="40" customFormat="false" ht="74.6" hidden="false" customHeight="false" outlineLevel="0" collapsed="false">
      <c r="A40" s="8" t="s">
        <v>9</v>
      </c>
      <c r="B40" s="8" t="s">
        <v>39</v>
      </c>
      <c r="C40" s="8" t="s">
        <v>147</v>
      </c>
      <c r="D40" s="8" t="s">
        <v>41</v>
      </c>
      <c r="E40" s="9" t="n">
        <v>420</v>
      </c>
      <c r="F40" s="9" t="n">
        <v>320</v>
      </c>
      <c r="G40" s="9" t="n">
        <v>410</v>
      </c>
      <c r="H40" s="9" t="n">
        <v>550</v>
      </c>
      <c r="I40" s="8" t="s">
        <v>128</v>
      </c>
      <c r="J40" s="9"/>
      <c r="K40" s="10" t="str">
        <f aca="false">IF(AND(ISNUMBER(J40),E40&gt;0),J40/E40-1,"")</f>
        <v/>
      </c>
      <c r="L40" s="11"/>
      <c r="M40" s="12"/>
      <c r="N40" s="13" t="n">
        <f aca="false">IF(L40="Своя ціна",M40,IF(L40="Прийняти",IF(ISNUMBER(J40),J40,E40),E40))</f>
        <v>420</v>
      </c>
      <c r="O40" s="8"/>
      <c r="P40" s="14" t="s">
        <v>148</v>
      </c>
    </row>
    <row r="41" customFormat="false" ht="53.7" hidden="false" customHeight="false" outlineLevel="0" collapsed="false">
      <c r="A41" s="8" t="s">
        <v>9</v>
      </c>
      <c r="B41" s="8" t="s">
        <v>39</v>
      </c>
      <c r="C41" s="8" t="s">
        <v>149</v>
      </c>
      <c r="D41" s="8" t="s">
        <v>41</v>
      </c>
      <c r="E41" s="9" t="n">
        <v>350</v>
      </c>
      <c r="F41" s="9" t="n">
        <v>170</v>
      </c>
      <c r="G41" s="9" t="n">
        <v>350</v>
      </c>
      <c r="H41" s="9" t="n">
        <v>400</v>
      </c>
      <c r="I41" s="8" t="s">
        <v>128</v>
      </c>
      <c r="J41" s="9"/>
      <c r="K41" s="10" t="str">
        <f aca="false">IF(AND(ISNUMBER(J41),E41&gt;0),J41/E41-1,"")</f>
        <v/>
      </c>
      <c r="L41" s="11"/>
      <c r="M41" s="12"/>
      <c r="N41" s="13" t="n">
        <f aca="false">IF(L41="Своя ціна",M41,IF(L41="Прийняти",IF(ISNUMBER(J41),J41,E41),E41))</f>
        <v>350</v>
      </c>
      <c r="O41" s="8"/>
      <c r="P41" s="14" t="s">
        <v>150</v>
      </c>
    </row>
    <row r="42" customFormat="false" ht="95.5" hidden="false" customHeight="false" outlineLevel="0" collapsed="false">
      <c r="A42" s="8" t="s">
        <v>9</v>
      </c>
      <c r="B42" s="8" t="s">
        <v>39</v>
      </c>
      <c r="C42" s="8" t="s">
        <v>151</v>
      </c>
      <c r="D42" s="8" t="s">
        <v>41</v>
      </c>
      <c r="E42" s="9" t="n">
        <v>300</v>
      </c>
      <c r="F42" s="9" t="n">
        <v>190</v>
      </c>
      <c r="G42" s="9" t="n">
        <v>301</v>
      </c>
      <c r="H42" s="9" t="n">
        <v>350</v>
      </c>
      <c r="I42" s="8" t="s">
        <v>128</v>
      </c>
      <c r="J42" s="9"/>
      <c r="K42" s="10" t="str">
        <f aca="false">IF(AND(ISNUMBER(J42),E42&gt;0),J42/E42-1,"")</f>
        <v/>
      </c>
      <c r="L42" s="11"/>
      <c r="M42" s="12"/>
      <c r="N42" s="13" t="n">
        <f aca="false">IF(L42="Своя ціна",M42,IF(L42="Прийняти",IF(ISNUMBER(J42),J42,E42),E42))</f>
        <v>300</v>
      </c>
      <c r="O42" s="8"/>
      <c r="P42" s="14" t="s">
        <v>152</v>
      </c>
    </row>
    <row r="43" customFormat="false" ht="53.7" hidden="false" customHeight="false" outlineLevel="0" collapsed="false">
      <c r="A43" s="8" t="s">
        <v>9</v>
      </c>
      <c r="B43" s="8" t="s">
        <v>39</v>
      </c>
      <c r="C43" s="8" t="s">
        <v>153</v>
      </c>
      <c r="D43" s="8" t="s">
        <v>41</v>
      </c>
      <c r="E43" s="9" t="n">
        <v>520</v>
      </c>
      <c r="F43" s="9" t="n">
        <v>435</v>
      </c>
      <c r="G43" s="9" t="n">
        <v>491</v>
      </c>
      <c r="H43" s="9" t="n">
        <v>551</v>
      </c>
      <c r="I43" s="8" t="s">
        <v>128</v>
      </c>
      <c r="J43" s="9"/>
      <c r="K43" s="10" t="str">
        <f aca="false">IF(AND(ISNUMBER(J43),E43&gt;0),J43/E43-1,"")</f>
        <v/>
      </c>
      <c r="L43" s="11"/>
      <c r="M43" s="12"/>
      <c r="N43" s="13" t="n">
        <f aca="false">IF(L43="Своя ціна",M43,IF(L43="Прийняти",IF(ISNUMBER(J43),J43,E43),E43))</f>
        <v>520</v>
      </c>
      <c r="O43" s="8"/>
      <c r="P43" s="14" t="s">
        <v>154</v>
      </c>
    </row>
    <row r="44" customFormat="false" ht="32.8" hidden="false" customHeight="false" outlineLevel="0" collapsed="false">
      <c r="A44" s="8" t="s">
        <v>9</v>
      </c>
      <c r="B44" s="8" t="s">
        <v>39</v>
      </c>
      <c r="C44" s="8" t="s">
        <v>155</v>
      </c>
      <c r="D44" s="8" t="s">
        <v>41</v>
      </c>
      <c r="E44" s="9" t="n">
        <v>750</v>
      </c>
      <c r="F44" s="9" t="n">
        <v>700</v>
      </c>
      <c r="G44" s="9" t="n">
        <v>700</v>
      </c>
      <c r="H44" s="9" t="n">
        <v>700</v>
      </c>
      <c r="I44" s="8" t="s">
        <v>128</v>
      </c>
      <c r="J44" s="9"/>
      <c r="K44" s="10" t="str">
        <f aca="false">IF(AND(ISNUMBER(J44),E44&gt;0),J44/E44-1,"")</f>
        <v/>
      </c>
      <c r="L44" s="11"/>
      <c r="M44" s="12"/>
      <c r="N44" s="13" t="n">
        <f aca="false">IF(L44="Своя ціна",M44,IF(L44="Прийняти",IF(ISNUMBER(J44),J44,E44),E44))</f>
        <v>750</v>
      </c>
      <c r="O44" s="8" t="s">
        <v>156</v>
      </c>
      <c r="P44" s="14" t="s">
        <v>157</v>
      </c>
    </row>
    <row r="45" customFormat="false" ht="137.3" hidden="false" customHeight="false" outlineLevel="0" collapsed="false">
      <c r="A45" s="8" t="s">
        <v>9</v>
      </c>
      <c r="B45" s="8" t="s">
        <v>39</v>
      </c>
      <c r="C45" s="8" t="s">
        <v>158</v>
      </c>
      <c r="D45" s="8" t="s">
        <v>41</v>
      </c>
      <c r="E45" s="9" t="n">
        <v>400</v>
      </c>
      <c r="F45" s="9" t="n">
        <v>350</v>
      </c>
      <c r="G45" s="9" t="n">
        <v>400</v>
      </c>
      <c r="H45" s="9" t="n">
        <v>500</v>
      </c>
      <c r="I45" s="8" t="s">
        <v>128</v>
      </c>
      <c r="J45" s="9"/>
      <c r="K45" s="10" t="str">
        <f aca="false">IF(AND(ISNUMBER(J45),E45&gt;0),J45/E45-1,"")</f>
        <v/>
      </c>
      <c r="L45" s="11"/>
      <c r="M45" s="12"/>
      <c r="N45" s="13" t="n">
        <f aca="false">IF(L45="Своя ціна",M45,IF(L45="Прийняти",IF(ISNUMBER(J45),J45,E45),E45))</f>
        <v>400</v>
      </c>
      <c r="O45" s="8"/>
      <c r="P45" s="14" t="s">
        <v>159</v>
      </c>
    </row>
    <row r="46" customFormat="false" ht="64.15" hidden="false" customHeight="false" outlineLevel="0" collapsed="false">
      <c r="A46" s="8" t="s">
        <v>9</v>
      </c>
      <c r="B46" s="8" t="s">
        <v>39</v>
      </c>
      <c r="C46" s="8" t="s">
        <v>160</v>
      </c>
      <c r="D46" s="8" t="s">
        <v>41</v>
      </c>
      <c r="E46" s="9" t="n">
        <v>737</v>
      </c>
      <c r="F46" s="9" t="n">
        <v>435</v>
      </c>
      <c r="G46" s="9" t="n">
        <v>738</v>
      </c>
      <c r="H46" s="9" t="n">
        <v>850</v>
      </c>
      <c r="I46" s="8" t="s">
        <v>128</v>
      </c>
      <c r="J46" s="9"/>
      <c r="K46" s="10" t="str">
        <f aca="false">IF(AND(ISNUMBER(J46),E46&gt;0),J46/E46-1,"")</f>
        <v/>
      </c>
      <c r="L46" s="11"/>
      <c r="M46" s="12"/>
      <c r="N46" s="13" t="n">
        <f aca="false">IF(L46="Своя ціна",M46,IF(L46="Прийняти",IF(ISNUMBER(J46),J46,E46),E46))</f>
        <v>737</v>
      </c>
      <c r="O46" s="8"/>
      <c r="P46" s="14" t="s">
        <v>161</v>
      </c>
    </row>
    <row r="47" customFormat="false" ht="74.6" hidden="false" customHeight="false" outlineLevel="0" collapsed="false">
      <c r="A47" s="8" t="s">
        <v>9</v>
      </c>
      <c r="B47" s="8" t="s">
        <v>59</v>
      </c>
      <c r="C47" s="8" t="s">
        <v>162</v>
      </c>
      <c r="D47" s="8" t="s">
        <v>49</v>
      </c>
      <c r="E47" s="9" t="n">
        <v>119</v>
      </c>
      <c r="F47" s="9" t="n">
        <v>100</v>
      </c>
      <c r="G47" s="9" t="n">
        <v>140</v>
      </c>
      <c r="H47" s="9" t="n">
        <v>180</v>
      </c>
      <c r="I47" s="8" t="s">
        <v>128</v>
      </c>
      <c r="J47" s="9"/>
      <c r="K47" s="10" t="str">
        <f aca="false">IF(AND(ISNUMBER(J47),E47&gt;0),J47/E47-1,"")</f>
        <v/>
      </c>
      <c r="L47" s="11"/>
      <c r="M47" s="12"/>
      <c r="N47" s="13" t="n">
        <f aca="false">IF(L47="Своя ціна",M47,IF(L47="Прийняти",IF(ISNUMBER(J47),J47,E47),E47))</f>
        <v>119</v>
      </c>
      <c r="O47" s="8"/>
      <c r="P47" s="14" t="s">
        <v>163</v>
      </c>
    </row>
    <row r="48" customFormat="false" ht="64.15" hidden="false" customHeight="false" outlineLevel="0" collapsed="false">
      <c r="A48" s="8" t="s">
        <v>9</v>
      </c>
      <c r="B48" s="8" t="s">
        <v>59</v>
      </c>
      <c r="C48" s="8" t="s">
        <v>164</v>
      </c>
      <c r="D48" s="8" t="s">
        <v>61</v>
      </c>
      <c r="E48" s="9" t="n">
        <v>283</v>
      </c>
      <c r="F48" s="9" t="n">
        <v>200</v>
      </c>
      <c r="G48" s="9" t="n">
        <v>280</v>
      </c>
      <c r="H48" s="9" t="n">
        <v>360</v>
      </c>
      <c r="I48" s="8" t="s">
        <v>128</v>
      </c>
      <c r="J48" s="9"/>
      <c r="K48" s="10" t="str">
        <f aca="false">IF(AND(ISNUMBER(J48),E48&gt;0),J48/E48-1,"")</f>
        <v/>
      </c>
      <c r="L48" s="11"/>
      <c r="M48" s="12"/>
      <c r="N48" s="13" t="n">
        <f aca="false">IF(L48="Своя ціна",M48,IF(L48="Прийняти",IF(ISNUMBER(J48),J48,E48),E48))</f>
        <v>283</v>
      </c>
      <c r="O48" s="8"/>
      <c r="P48" s="14" t="s">
        <v>165</v>
      </c>
    </row>
    <row r="49" customFormat="false" ht="95.5" hidden="false" customHeight="false" outlineLevel="0" collapsed="false">
      <c r="A49" s="8" t="s">
        <v>9</v>
      </c>
      <c r="B49" s="8" t="s">
        <v>59</v>
      </c>
      <c r="C49" s="8" t="s">
        <v>166</v>
      </c>
      <c r="D49" s="8" t="s">
        <v>61</v>
      </c>
      <c r="E49" s="9" t="n">
        <v>1927</v>
      </c>
      <c r="F49" s="9" t="n">
        <v>1265</v>
      </c>
      <c r="G49" s="9" t="n">
        <v>2268</v>
      </c>
      <c r="H49" s="9" t="n">
        <v>2400</v>
      </c>
      <c r="I49" s="8" t="s">
        <v>128</v>
      </c>
      <c r="J49" s="9"/>
      <c r="K49" s="10" t="str">
        <f aca="false">IF(AND(ISNUMBER(J49),E49&gt;0),J49/E49-1,"")</f>
        <v/>
      </c>
      <c r="L49" s="11"/>
      <c r="M49" s="12"/>
      <c r="N49" s="13" t="n">
        <f aca="false">IF(L49="Своя ціна",M49,IF(L49="Прийняти",IF(ISNUMBER(J49),J49,E49),E49))</f>
        <v>1927</v>
      </c>
      <c r="O49" s="8" t="s">
        <v>167</v>
      </c>
      <c r="P49" s="14" t="s">
        <v>168</v>
      </c>
    </row>
    <row r="50" customFormat="false" ht="158.2" hidden="false" customHeight="false" outlineLevel="0" collapsed="false">
      <c r="A50" s="8" t="s">
        <v>9</v>
      </c>
      <c r="B50" s="8" t="s">
        <v>59</v>
      </c>
      <c r="C50" s="8" t="s">
        <v>169</v>
      </c>
      <c r="D50" s="8" t="s">
        <v>49</v>
      </c>
      <c r="E50" s="9" t="n">
        <v>230</v>
      </c>
      <c r="F50" s="9" t="n">
        <v>110</v>
      </c>
      <c r="G50" s="9" t="n">
        <v>190</v>
      </c>
      <c r="H50" s="9" t="n">
        <v>324</v>
      </c>
      <c r="I50" s="8" t="s">
        <v>128</v>
      </c>
      <c r="J50" s="9"/>
      <c r="K50" s="10" t="str">
        <f aca="false">IF(AND(ISNUMBER(J50),E50&gt;0),J50/E50-1,"")</f>
        <v/>
      </c>
      <c r="L50" s="11"/>
      <c r="M50" s="12"/>
      <c r="N50" s="13" t="n">
        <f aca="false">IF(L50="Своя ціна",M50,IF(L50="Прийняти",IF(ISNUMBER(J50),J50,E50),E50))</f>
        <v>230</v>
      </c>
      <c r="O50" s="8"/>
      <c r="P50" s="14" t="s">
        <v>170</v>
      </c>
    </row>
    <row r="51" customFormat="false" ht="147.75" hidden="false" customHeight="false" outlineLevel="0" collapsed="false">
      <c r="A51" s="8" t="s">
        <v>9</v>
      </c>
      <c r="B51" s="8" t="s">
        <v>59</v>
      </c>
      <c r="C51" s="8" t="s">
        <v>171</v>
      </c>
      <c r="D51" s="8" t="s">
        <v>49</v>
      </c>
      <c r="E51" s="9" t="n">
        <v>397</v>
      </c>
      <c r="F51" s="9" t="n">
        <v>360</v>
      </c>
      <c r="G51" s="9" t="n">
        <v>438</v>
      </c>
      <c r="H51" s="9" t="n">
        <v>600</v>
      </c>
      <c r="I51" s="8" t="s">
        <v>128</v>
      </c>
      <c r="J51" s="9"/>
      <c r="K51" s="10" t="str">
        <f aca="false">IF(AND(ISNUMBER(J51),E51&gt;0),J51/E51-1,"")</f>
        <v/>
      </c>
      <c r="L51" s="11"/>
      <c r="M51" s="12"/>
      <c r="N51" s="13" t="n">
        <f aca="false">IF(L51="Своя ціна",M51,IF(L51="Прийняти",IF(ISNUMBER(J51),J51,E51),E51))</f>
        <v>397</v>
      </c>
      <c r="O51" s="8"/>
      <c r="P51" s="14" t="s">
        <v>172</v>
      </c>
    </row>
    <row r="52" customFormat="false" ht="95.5" hidden="false" customHeight="false" outlineLevel="0" collapsed="false">
      <c r="A52" s="8" t="s">
        <v>9</v>
      </c>
      <c r="B52" s="8" t="s">
        <v>59</v>
      </c>
      <c r="C52" s="8" t="s">
        <v>173</v>
      </c>
      <c r="D52" s="8" t="s">
        <v>41</v>
      </c>
      <c r="E52" s="9" t="n">
        <v>224</v>
      </c>
      <c r="F52" s="9" t="n">
        <v>150</v>
      </c>
      <c r="G52" s="9" t="n">
        <v>176</v>
      </c>
      <c r="H52" s="9" t="n">
        <v>300</v>
      </c>
      <c r="I52" s="8" t="s">
        <v>128</v>
      </c>
      <c r="J52" s="9"/>
      <c r="K52" s="10" t="str">
        <f aca="false">IF(AND(ISNUMBER(J52),E52&gt;0),J52/E52-1,"")</f>
        <v/>
      </c>
      <c r="L52" s="11"/>
      <c r="M52" s="12"/>
      <c r="N52" s="13" t="n">
        <f aca="false">IF(L52="Своя ціна",M52,IF(L52="Прийняти",IF(ISNUMBER(J52),J52,E52),E52))</f>
        <v>224</v>
      </c>
      <c r="O52" s="8" t="s">
        <v>174</v>
      </c>
      <c r="P52" s="14" t="s">
        <v>175</v>
      </c>
    </row>
    <row r="53" customFormat="false" ht="74.6" hidden="false" customHeight="false" outlineLevel="0" collapsed="false">
      <c r="A53" s="8" t="s">
        <v>9</v>
      </c>
      <c r="B53" s="8" t="s">
        <v>59</v>
      </c>
      <c r="C53" s="8" t="s">
        <v>176</v>
      </c>
      <c r="D53" s="8" t="s">
        <v>49</v>
      </c>
      <c r="E53" s="9" t="n">
        <v>620</v>
      </c>
      <c r="F53" s="9" t="n">
        <v>550</v>
      </c>
      <c r="G53" s="9" t="n">
        <v>635</v>
      </c>
      <c r="H53" s="9" t="n">
        <v>720</v>
      </c>
      <c r="I53" s="8" t="s">
        <v>128</v>
      </c>
      <c r="J53" s="9"/>
      <c r="K53" s="10" t="str">
        <f aca="false">IF(AND(ISNUMBER(J53),E53&gt;0),J53/E53-1,"")</f>
        <v/>
      </c>
      <c r="L53" s="11"/>
      <c r="M53" s="12"/>
      <c r="N53" s="13" t="n">
        <f aca="false">IF(L53="Своя ціна",M53,IF(L53="Прийняти",IF(ISNUMBER(J53),J53,E53),E53))</f>
        <v>620</v>
      </c>
      <c r="O53" s="8"/>
      <c r="P53" s="14" t="s">
        <v>177</v>
      </c>
    </row>
    <row r="54" customFormat="false" ht="74.6" hidden="false" customHeight="false" outlineLevel="0" collapsed="false">
      <c r="A54" s="8" t="s">
        <v>9</v>
      </c>
      <c r="B54" s="8" t="s">
        <v>59</v>
      </c>
      <c r="C54" s="8" t="s">
        <v>178</v>
      </c>
      <c r="D54" s="8" t="s">
        <v>41</v>
      </c>
      <c r="E54" s="9" t="n">
        <v>229</v>
      </c>
      <c r="F54" s="9" t="n">
        <v>220</v>
      </c>
      <c r="G54" s="9" t="n">
        <v>242</v>
      </c>
      <c r="H54" s="9" t="n">
        <v>264</v>
      </c>
      <c r="I54" s="8" t="s">
        <v>128</v>
      </c>
      <c r="J54" s="9"/>
      <c r="K54" s="10" t="str">
        <f aca="false">IF(AND(ISNUMBER(J54),E54&gt;0),J54/E54-1,"")</f>
        <v/>
      </c>
      <c r="L54" s="11"/>
      <c r="M54" s="12"/>
      <c r="N54" s="13" t="n">
        <f aca="false">IF(L54="Своя ціна",M54,IF(L54="Прийняти",IF(ISNUMBER(J54),J54,E54),E54))</f>
        <v>229</v>
      </c>
      <c r="O54" s="8" t="s">
        <v>179</v>
      </c>
      <c r="P54" s="14" t="s">
        <v>180</v>
      </c>
    </row>
    <row r="55" customFormat="false" ht="137.3" hidden="false" customHeight="false" outlineLevel="0" collapsed="false">
      <c r="A55" s="8" t="s">
        <v>9</v>
      </c>
      <c r="B55" s="8" t="s">
        <v>59</v>
      </c>
      <c r="C55" s="8" t="s">
        <v>181</v>
      </c>
      <c r="D55" s="8" t="s">
        <v>41</v>
      </c>
      <c r="E55" s="9" t="n">
        <v>174</v>
      </c>
      <c r="F55" s="9" t="n">
        <v>120</v>
      </c>
      <c r="G55" s="9" t="n">
        <v>200</v>
      </c>
      <c r="H55" s="9" t="n">
        <v>292</v>
      </c>
      <c r="I55" s="8" t="s">
        <v>128</v>
      </c>
      <c r="J55" s="9"/>
      <c r="K55" s="10" t="str">
        <f aca="false">IF(AND(ISNUMBER(J55),E55&gt;0),J55/E55-1,"")</f>
        <v/>
      </c>
      <c r="L55" s="11"/>
      <c r="M55" s="12"/>
      <c r="N55" s="13" t="n">
        <f aca="false">IF(L55="Своя ціна",M55,IF(L55="Прийняти",IF(ISNUMBER(J55),J55,E55),E55))</f>
        <v>174</v>
      </c>
      <c r="O55" s="8" t="s">
        <v>182</v>
      </c>
      <c r="P55" s="14" t="s">
        <v>183</v>
      </c>
    </row>
    <row r="56" customFormat="false" ht="74.6" hidden="false" customHeight="false" outlineLevel="0" collapsed="false">
      <c r="A56" s="8" t="s">
        <v>9</v>
      </c>
      <c r="B56" s="8" t="s">
        <v>59</v>
      </c>
      <c r="C56" s="8" t="s">
        <v>184</v>
      </c>
      <c r="D56" s="8" t="s">
        <v>41</v>
      </c>
      <c r="E56" s="9" t="n">
        <v>131</v>
      </c>
      <c r="F56" s="9" t="n">
        <v>100</v>
      </c>
      <c r="G56" s="9" t="n">
        <v>110</v>
      </c>
      <c r="H56" s="9" t="n">
        <v>120</v>
      </c>
      <c r="I56" s="8" t="s">
        <v>128</v>
      </c>
      <c r="J56" s="9"/>
      <c r="K56" s="10" t="str">
        <f aca="false">IF(AND(ISNUMBER(J56),E56&gt;0),J56/E56-1,"")</f>
        <v/>
      </c>
      <c r="L56" s="11"/>
      <c r="M56" s="12"/>
      <c r="N56" s="13" t="n">
        <f aca="false">IF(L56="Своя ціна",M56,IF(L56="Прийняти",IF(ISNUMBER(J56),J56,E56),E56))</f>
        <v>131</v>
      </c>
      <c r="O56" s="8"/>
      <c r="P56" s="14" t="s">
        <v>185</v>
      </c>
    </row>
    <row r="57" customFormat="false" ht="126.85" hidden="false" customHeight="false" outlineLevel="0" collapsed="false">
      <c r="A57" s="8" t="s">
        <v>9</v>
      </c>
      <c r="B57" s="8" t="s">
        <v>59</v>
      </c>
      <c r="C57" s="8" t="s">
        <v>186</v>
      </c>
      <c r="D57" s="8" t="s">
        <v>49</v>
      </c>
      <c r="E57" s="9" t="n">
        <v>246</v>
      </c>
      <c r="F57" s="9" t="n">
        <v>250</v>
      </c>
      <c r="G57" s="9" t="n">
        <v>270</v>
      </c>
      <c r="H57" s="9" t="n">
        <v>326</v>
      </c>
      <c r="I57" s="8" t="s">
        <v>128</v>
      </c>
      <c r="J57" s="9"/>
      <c r="K57" s="10" t="str">
        <f aca="false">IF(AND(ISNUMBER(J57),E57&gt;0),J57/E57-1,"")</f>
        <v/>
      </c>
      <c r="L57" s="11"/>
      <c r="M57" s="12"/>
      <c r="N57" s="13" t="n">
        <f aca="false">IF(L57="Своя ціна",M57,IF(L57="Прийняти",IF(ISNUMBER(J57),J57,E57),E57))</f>
        <v>246</v>
      </c>
      <c r="O57" s="8" t="s">
        <v>187</v>
      </c>
      <c r="P57" s="14" t="s">
        <v>188</v>
      </c>
    </row>
    <row r="58" customFormat="false" ht="74.6" hidden="false" customHeight="false" outlineLevel="0" collapsed="false">
      <c r="A58" s="8" t="s">
        <v>9</v>
      </c>
      <c r="B58" s="8" t="s">
        <v>59</v>
      </c>
      <c r="C58" s="8" t="s">
        <v>189</v>
      </c>
      <c r="D58" s="8" t="s">
        <v>41</v>
      </c>
      <c r="E58" s="9" t="n">
        <v>952</v>
      </c>
      <c r="F58" s="9" t="n">
        <v>800</v>
      </c>
      <c r="G58" s="9" t="n">
        <v>928</v>
      </c>
      <c r="H58" s="9" t="n">
        <v>1056</v>
      </c>
      <c r="I58" s="8" t="s">
        <v>128</v>
      </c>
      <c r="J58" s="9"/>
      <c r="K58" s="10" t="str">
        <f aca="false">IF(AND(ISNUMBER(J58),E58&gt;0),J58/E58-1,"")</f>
        <v/>
      </c>
      <c r="L58" s="11"/>
      <c r="M58" s="12"/>
      <c r="N58" s="13" t="n">
        <f aca="false">IF(L58="Своя ціна",M58,IF(L58="Прийняти",IF(ISNUMBER(J58),J58,E58),E58))</f>
        <v>952</v>
      </c>
      <c r="O58" s="8"/>
      <c r="P58" s="14" t="s">
        <v>190</v>
      </c>
    </row>
    <row r="59" customFormat="false" ht="74.6" hidden="false" customHeight="false" outlineLevel="0" collapsed="false">
      <c r="A59" s="8" t="s">
        <v>9</v>
      </c>
      <c r="B59" s="8" t="s">
        <v>59</v>
      </c>
      <c r="C59" s="8" t="s">
        <v>191</v>
      </c>
      <c r="D59" s="8" t="s">
        <v>41</v>
      </c>
      <c r="E59" s="9" t="n">
        <v>1106</v>
      </c>
      <c r="F59" s="9" t="n">
        <v>1140</v>
      </c>
      <c r="G59" s="9" t="n">
        <v>1262</v>
      </c>
      <c r="H59" s="9" t="n">
        <v>1385</v>
      </c>
      <c r="I59" s="8" t="s">
        <v>128</v>
      </c>
      <c r="J59" s="9"/>
      <c r="K59" s="10" t="str">
        <f aca="false">IF(AND(ISNUMBER(J59),E59&gt;0),J59/E59-1,"")</f>
        <v/>
      </c>
      <c r="L59" s="11"/>
      <c r="M59" s="12"/>
      <c r="N59" s="13" t="n">
        <f aca="false">IF(L59="Своя ціна",M59,IF(L59="Прийняти",IF(ISNUMBER(J59),J59,E59),E59))</f>
        <v>1106</v>
      </c>
      <c r="O59" s="8"/>
      <c r="P59" s="14" t="s">
        <v>192</v>
      </c>
    </row>
    <row r="60" customFormat="false" ht="137.3" hidden="false" customHeight="false" outlineLevel="0" collapsed="false">
      <c r="A60" s="8" t="s">
        <v>9</v>
      </c>
      <c r="B60" s="8" t="s">
        <v>59</v>
      </c>
      <c r="C60" s="8" t="s">
        <v>193</v>
      </c>
      <c r="D60" s="8" t="s">
        <v>41</v>
      </c>
      <c r="E60" s="9" t="n">
        <v>1115</v>
      </c>
      <c r="F60" s="9" t="n">
        <v>990</v>
      </c>
      <c r="G60" s="9" t="n">
        <v>1200</v>
      </c>
      <c r="H60" s="9" t="n">
        <v>2500</v>
      </c>
      <c r="I60" s="8" t="s">
        <v>128</v>
      </c>
      <c r="J60" s="9"/>
      <c r="K60" s="10" t="str">
        <f aca="false">IF(AND(ISNUMBER(J60),E60&gt;0),J60/E60-1,"")</f>
        <v/>
      </c>
      <c r="L60" s="11"/>
      <c r="M60" s="12"/>
      <c r="N60" s="13" t="n">
        <f aca="false">IF(L60="Своя ціна",M60,IF(L60="Прийняти",IF(ISNUMBER(J60),J60,E60),E60))</f>
        <v>1115</v>
      </c>
      <c r="O60" s="8" t="s">
        <v>194</v>
      </c>
      <c r="P60" s="14" t="s">
        <v>195</v>
      </c>
    </row>
    <row r="61" customFormat="false" ht="85.05" hidden="false" customHeight="false" outlineLevel="0" collapsed="false">
      <c r="A61" s="8" t="s">
        <v>9</v>
      </c>
      <c r="B61" s="8" t="s">
        <v>59</v>
      </c>
      <c r="C61" s="8" t="s">
        <v>196</v>
      </c>
      <c r="D61" s="8" t="s">
        <v>41</v>
      </c>
      <c r="E61" s="9" t="n">
        <v>1333</v>
      </c>
      <c r="F61" s="9" t="n">
        <v>1140</v>
      </c>
      <c r="G61" s="9" t="n">
        <v>1320</v>
      </c>
      <c r="H61" s="9" t="n">
        <v>1967</v>
      </c>
      <c r="I61" s="8" t="s">
        <v>128</v>
      </c>
      <c r="J61" s="9"/>
      <c r="K61" s="10" t="str">
        <f aca="false">IF(AND(ISNUMBER(J61),E61&gt;0),J61/E61-1,"")</f>
        <v/>
      </c>
      <c r="L61" s="11"/>
      <c r="M61" s="12"/>
      <c r="N61" s="13" t="n">
        <f aca="false">IF(L61="Своя ціна",M61,IF(L61="Прийняти",IF(ISNUMBER(J61),J61,E61),E61))</f>
        <v>1333</v>
      </c>
      <c r="O61" s="8"/>
      <c r="P61" s="14" t="s">
        <v>197</v>
      </c>
    </row>
    <row r="62" customFormat="false" ht="32.8" hidden="false" customHeight="false" outlineLevel="0" collapsed="false">
      <c r="A62" s="8" t="s">
        <v>9</v>
      </c>
      <c r="B62" s="8" t="s">
        <v>59</v>
      </c>
      <c r="C62" s="8" t="s">
        <v>198</v>
      </c>
      <c r="D62" s="8" t="s">
        <v>41</v>
      </c>
      <c r="E62" s="9" t="n">
        <v>918</v>
      </c>
      <c r="F62" s="9" t="n">
        <v>900</v>
      </c>
      <c r="G62" s="9" t="n">
        <v>1000</v>
      </c>
      <c r="H62" s="9" t="n">
        <v>1100</v>
      </c>
      <c r="I62" s="8" t="s">
        <v>128</v>
      </c>
      <c r="J62" s="9"/>
      <c r="K62" s="10" t="str">
        <f aca="false">IF(AND(ISNUMBER(J62),E62&gt;0),J62/E62-1,"")</f>
        <v/>
      </c>
      <c r="L62" s="11"/>
      <c r="M62" s="12"/>
      <c r="N62" s="13" t="n">
        <f aca="false">IF(L62="Своя ціна",M62,IF(L62="Прийняти",IF(ISNUMBER(J62),J62,E62),E62))</f>
        <v>918</v>
      </c>
      <c r="O62" s="8"/>
      <c r="P62" s="14" t="s">
        <v>199</v>
      </c>
    </row>
    <row r="63" customFormat="false" ht="95.5" hidden="false" customHeight="false" outlineLevel="0" collapsed="false">
      <c r="A63" s="8" t="s">
        <v>9</v>
      </c>
      <c r="B63" s="8" t="s">
        <v>59</v>
      </c>
      <c r="C63" s="8" t="s">
        <v>200</v>
      </c>
      <c r="D63" s="8" t="s">
        <v>41</v>
      </c>
      <c r="E63" s="9" t="n">
        <v>911</v>
      </c>
      <c r="F63" s="9" t="n">
        <v>580</v>
      </c>
      <c r="G63" s="9" t="n">
        <v>842</v>
      </c>
      <c r="H63" s="9" t="n">
        <v>1250</v>
      </c>
      <c r="I63" s="8" t="s">
        <v>128</v>
      </c>
      <c r="J63" s="9"/>
      <c r="K63" s="10" t="str">
        <f aca="false">IF(AND(ISNUMBER(J63),E63&gt;0),J63/E63-1,"")</f>
        <v/>
      </c>
      <c r="L63" s="11"/>
      <c r="M63" s="12"/>
      <c r="N63" s="13" t="n">
        <f aca="false">IF(L63="Своя ціна",M63,IF(L63="Прийняти",IF(ISNUMBER(J63),J63,E63),E63))</f>
        <v>911</v>
      </c>
      <c r="O63" s="8" t="s">
        <v>201</v>
      </c>
      <c r="P63" s="14" t="s">
        <v>202</v>
      </c>
    </row>
    <row r="64" customFormat="false" ht="74.6" hidden="false" customHeight="false" outlineLevel="0" collapsed="false">
      <c r="A64" s="8" t="s">
        <v>9</v>
      </c>
      <c r="B64" s="8" t="s">
        <v>59</v>
      </c>
      <c r="C64" s="8" t="s">
        <v>203</v>
      </c>
      <c r="D64" s="8" t="s">
        <v>41</v>
      </c>
      <c r="E64" s="9" t="n">
        <v>1837</v>
      </c>
      <c r="F64" s="9" t="n">
        <v>1920</v>
      </c>
      <c r="G64" s="9" t="n">
        <v>3210</v>
      </c>
      <c r="H64" s="9" t="n">
        <v>4500</v>
      </c>
      <c r="I64" s="8" t="s">
        <v>128</v>
      </c>
      <c r="J64" s="9"/>
      <c r="K64" s="10" t="str">
        <f aca="false">IF(AND(ISNUMBER(J64),E64&gt;0),J64/E64-1,"")</f>
        <v/>
      </c>
      <c r="L64" s="11"/>
      <c r="M64" s="12"/>
      <c r="N64" s="13" t="n">
        <f aca="false">IF(L64="Своя ціна",M64,IF(L64="Прийняти",IF(ISNUMBER(J64),J64,E64),E64))</f>
        <v>1837</v>
      </c>
      <c r="O64" s="8" t="s">
        <v>204</v>
      </c>
      <c r="P64" s="14" t="s">
        <v>205</v>
      </c>
    </row>
    <row r="65" customFormat="false" ht="74.6" hidden="false" customHeight="false" outlineLevel="0" collapsed="false">
      <c r="A65" s="8" t="s">
        <v>9</v>
      </c>
      <c r="B65" s="8" t="s">
        <v>59</v>
      </c>
      <c r="C65" s="8" t="s">
        <v>206</v>
      </c>
      <c r="D65" s="8" t="s">
        <v>41</v>
      </c>
      <c r="E65" s="9" t="n">
        <v>2742</v>
      </c>
      <c r="F65" s="9" t="n">
        <v>2640</v>
      </c>
      <c r="G65" s="9" t="n">
        <v>2640</v>
      </c>
      <c r="H65" s="9" t="n">
        <v>5000</v>
      </c>
      <c r="I65" s="8" t="s">
        <v>128</v>
      </c>
      <c r="J65" s="9"/>
      <c r="K65" s="10" t="str">
        <f aca="false">IF(AND(ISNUMBER(J65),E65&gt;0),J65/E65-1,"")</f>
        <v/>
      </c>
      <c r="L65" s="11"/>
      <c r="M65" s="12"/>
      <c r="N65" s="13" t="n">
        <f aca="false">IF(L65="Своя ціна",M65,IF(L65="Прийняти",IF(ISNUMBER(J65),J65,E65),E65))</f>
        <v>2742</v>
      </c>
      <c r="O65" s="8" t="s">
        <v>207</v>
      </c>
      <c r="P65" s="14" t="s">
        <v>208</v>
      </c>
    </row>
    <row r="66" customFormat="false" ht="85.05" hidden="false" customHeight="false" outlineLevel="0" collapsed="false">
      <c r="A66" s="8" t="s">
        <v>9</v>
      </c>
      <c r="B66" s="8" t="s">
        <v>59</v>
      </c>
      <c r="C66" s="8" t="s">
        <v>209</v>
      </c>
      <c r="D66" s="8" t="s">
        <v>41</v>
      </c>
      <c r="E66" s="9" t="n">
        <v>1077</v>
      </c>
      <c r="F66" s="9" t="n">
        <v>900</v>
      </c>
      <c r="G66" s="9" t="n">
        <v>936</v>
      </c>
      <c r="H66" s="9" t="n">
        <v>1100</v>
      </c>
      <c r="I66" s="8" t="s">
        <v>128</v>
      </c>
      <c r="J66" s="9"/>
      <c r="K66" s="10" t="str">
        <f aca="false">IF(AND(ISNUMBER(J66),E66&gt;0),J66/E66-1,"")</f>
        <v/>
      </c>
      <c r="L66" s="11"/>
      <c r="M66" s="12"/>
      <c r="N66" s="13" t="n">
        <f aca="false">IF(L66="Своя ціна",M66,IF(L66="Прийняти",IF(ISNUMBER(J66),J66,E66),E66))</f>
        <v>1077</v>
      </c>
      <c r="O66" s="8"/>
      <c r="P66" s="14" t="s">
        <v>210</v>
      </c>
    </row>
    <row r="67" customFormat="false" ht="95.5" hidden="false" customHeight="false" outlineLevel="0" collapsed="false">
      <c r="A67" s="8" t="s">
        <v>9</v>
      </c>
      <c r="B67" s="8" t="s">
        <v>59</v>
      </c>
      <c r="C67" s="8" t="s">
        <v>211</v>
      </c>
      <c r="D67" s="8" t="s">
        <v>41</v>
      </c>
      <c r="E67" s="9" t="n">
        <v>756</v>
      </c>
      <c r="F67" s="9" t="n">
        <v>780</v>
      </c>
      <c r="G67" s="9" t="n">
        <v>800</v>
      </c>
      <c r="H67" s="9" t="n">
        <v>1267</v>
      </c>
      <c r="I67" s="8" t="s">
        <v>128</v>
      </c>
      <c r="J67" s="9"/>
      <c r="K67" s="10" t="str">
        <f aca="false">IF(AND(ISNUMBER(J67),E67&gt;0),J67/E67-1,"")</f>
        <v/>
      </c>
      <c r="L67" s="11"/>
      <c r="M67" s="12"/>
      <c r="N67" s="13" t="n">
        <f aca="false">IF(L67="Своя ціна",M67,IF(L67="Прийняти",IF(ISNUMBER(J67),J67,E67),E67))</f>
        <v>756</v>
      </c>
      <c r="O67" s="8" t="s">
        <v>212</v>
      </c>
      <c r="P67" s="14" t="s">
        <v>213</v>
      </c>
    </row>
    <row r="68" customFormat="false" ht="64.15" hidden="false" customHeight="false" outlineLevel="0" collapsed="false">
      <c r="A68" s="8" t="s">
        <v>9</v>
      </c>
      <c r="B68" s="8" t="s">
        <v>59</v>
      </c>
      <c r="C68" s="8" t="s">
        <v>214</v>
      </c>
      <c r="D68" s="8" t="s">
        <v>41</v>
      </c>
      <c r="E68" s="9" t="n">
        <v>1241</v>
      </c>
      <c r="F68" s="9" t="n">
        <v>880</v>
      </c>
      <c r="G68" s="9" t="n">
        <v>1118</v>
      </c>
      <c r="H68" s="9" t="n">
        <v>1366</v>
      </c>
      <c r="I68" s="8" t="s">
        <v>128</v>
      </c>
      <c r="J68" s="9"/>
      <c r="K68" s="10" t="str">
        <f aca="false">IF(AND(ISNUMBER(J68),E68&gt;0),J68/E68-1,"")</f>
        <v/>
      </c>
      <c r="L68" s="11"/>
      <c r="M68" s="12"/>
      <c r="N68" s="13" t="n">
        <f aca="false">IF(L68="Своя ціна",M68,IF(L68="Прийняти",IF(ISNUMBER(J68),J68,E68),E68))</f>
        <v>1241</v>
      </c>
      <c r="O68" s="8" t="s">
        <v>215</v>
      </c>
      <c r="P68" s="14" t="s">
        <v>216</v>
      </c>
    </row>
    <row r="69" customFormat="false" ht="105.95" hidden="false" customHeight="false" outlineLevel="0" collapsed="false">
      <c r="A69" s="8" t="s">
        <v>9</v>
      </c>
      <c r="B69" s="8" t="s">
        <v>59</v>
      </c>
      <c r="C69" s="8" t="s">
        <v>217</v>
      </c>
      <c r="D69" s="8" t="s">
        <v>41</v>
      </c>
      <c r="E69" s="9" t="n">
        <v>35</v>
      </c>
      <c r="F69" s="9" t="n">
        <v>25</v>
      </c>
      <c r="G69" s="9" t="n">
        <v>38</v>
      </c>
      <c r="H69" s="9" t="n">
        <v>48</v>
      </c>
      <c r="I69" s="8" t="s">
        <v>128</v>
      </c>
      <c r="J69" s="9"/>
      <c r="K69" s="10" t="str">
        <f aca="false">IF(AND(ISNUMBER(J69),E69&gt;0),J69/E69-1,"")</f>
        <v/>
      </c>
      <c r="L69" s="11"/>
      <c r="M69" s="12"/>
      <c r="N69" s="13" t="n">
        <f aca="false">IF(L69="Своя ціна",M69,IF(L69="Прийняти",IF(ISNUMBER(J69),J69,E69),E69))</f>
        <v>35</v>
      </c>
      <c r="O69" s="8"/>
      <c r="P69" s="14" t="s">
        <v>218</v>
      </c>
    </row>
    <row r="70" customFormat="false" ht="85.05" hidden="false" customHeight="false" outlineLevel="0" collapsed="false">
      <c r="A70" s="8" t="s">
        <v>10</v>
      </c>
      <c r="B70" s="8" t="s">
        <v>219</v>
      </c>
      <c r="C70" s="8" t="s">
        <v>220</v>
      </c>
      <c r="D70" s="8" t="s">
        <v>49</v>
      </c>
      <c r="E70" s="9" t="n">
        <v>230</v>
      </c>
      <c r="F70" s="9" t="n">
        <v>230</v>
      </c>
      <c r="G70" s="9" t="n">
        <v>390</v>
      </c>
      <c r="H70" s="9" t="n">
        <v>650</v>
      </c>
      <c r="I70" s="8" t="s">
        <v>42</v>
      </c>
      <c r="J70" s="9" t="n">
        <v>380</v>
      </c>
      <c r="K70" s="10" t="n">
        <f aca="false">IF(AND(ISNUMBER(J70),E70&gt;0),J70/E70-1,"")</f>
        <v>0.652173913043478</v>
      </c>
      <c r="L70" s="11"/>
      <c r="M70" s="12"/>
      <c r="N70" s="13" t="n">
        <f aca="false">IF(L70="Своя ціна",M70,IF(L70="Прийняти",IF(ISNUMBER(J70),J70,E70),E70))</f>
        <v>230</v>
      </c>
      <c r="O70" s="8" t="s">
        <v>221</v>
      </c>
      <c r="P70" s="14" t="s">
        <v>222</v>
      </c>
    </row>
    <row r="71" customFormat="false" ht="43.25" hidden="false" customHeight="false" outlineLevel="0" collapsed="false">
      <c r="A71" s="8" t="s">
        <v>10</v>
      </c>
      <c r="B71" s="8" t="s">
        <v>219</v>
      </c>
      <c r="C71" s="8" t="s">
        <v>223</v>
      </c>
      <c r="D71" s="8" t="s">
        <v>49</v>
      </c>
      <c r="E71" s="9" t="n">
        <v>400</v>
      </c>
      <c r="F71" s="9" t="n">
        <v>500</v>
      </c>
      <c r="G71" s="9" t="n">
        <v>630</v>
      </c>
      <c r="H71" s="9" t="n">
        <v>800</v>
      </c>
      <c r="I71" s="8" t="s">
        <v>42</v>
      </c>
      <c r="J71" s="9" t="n">
        <v>600</v>
      </c>
      <c r="K71" s="10" t="n">
        <f aca="false">IF(AND(ISNUMBER(J71),E71&gt;0),J71/E71-1,"")</f>
        <v>0.5</v>
      </c>
      <c r="L71" s="11"/>
      <c r="M71" s="12"/>
      <c r="N71" s="13" t="n">
        <f aca="false">IF(L71="Своя ціна",M71,IF(L71="Прийняти",IF(ISNUMBER(J71),J71,E71),E71))</f>
        <v>400</v>
      </c>
      <c r="O71" s="8" t="s">
        <v>224</v>
      </c>
      <c r="P71" s="14" t="s">
        <v>225</v>
      </c>
    </row>
    <row r="72" customFormat="false" ht="43.25" hidden="false" customHeight="false" outlineLevel="0" collapsed="false">
      <c r="A72" s="8" t="s">
        <v>10</v>
      </c>
      <c r="B72" s="8" t="s">
        <v>219</v>
      </c>
      <c r="C72" s="8" t="s">
        <v>226</v>
      </c>
      <c r="D72" s="8" t="s">
        <v>49</v>
      </c>
      <c r="E72" s="9" t="n">
        <v>1400</v>
      </c>
      <c r="F72" s="9" t="n">
        <v>1500</v>
      </c>
      <c r="G72" s="9" t="n">
        <v>1800</v>
      </c>
      <c r="H72" s="9" t="n">
        <v>2800</v>
      </c>
      <c r="I72" s="8" t="s">
        <v>42</v>
      </c>
      <c r="J72" s="9" t="n">
        <v>1800</v>
      </c>
      <c r="K72" s="10" t="n">
        <f aca="false">IF(AND(ISNUMBER(J72),E72&gt;0),J72/E72-1,"")</f>
        <v>0.285714285714286</v>
      </c>
      <c r="L72" s="11"/>
      <c r="M72" s="12"/>
      <c r="N72" s="13" t="n">
        <f aca="false">IF(L72="Своя ціна",M72,IF(L72="Прийняти",IF(ISNUMBER(J72),J72,E72),E72))</f>
        <v>1400</v>
      </c>
      <c r="O72" s="8" t="s">
        <v>227</v>
      </c>
      <c r="P72" s="14" t="s">
        <v>228</v>
      </c>
    </row>
    <row r="73" customFormat="false" ht="74.6" hidden="false" customHeight="false" outlineLevel="0" collapsed="false">
      <c r="A73" s="8" t="s">
        <v>10</v>
      </c>
      <c r="B73" s="8" t="s">
        <v>219</v>
      </c>
      <c r="C73" s="8" t="s">
        <v>229</v>
      </c>
      <c r="D73" s="8" t="s">
        <v>49</v>
      </c>
      <c r="E73" s="9" t="n">
        <v>400</v>
      </c>
      <c r="F73" s="9" t="n">
        <v>500</v>
      </c>
      <c r="G73" s="9" t="n">
        <v>600</v>
      </c>
      <c r="H73" s="9" t="n">
        <v>900</v>
      </c>
      <c r="I73" s="8" t="s">
        <v>42</v>
      </c>
      <c r="J73" s="9" t="n">
        <v>600</v>
      </c>
      <c r="K73" s="10" t="n">
        <f aca="false">IF(AND(ISNUMBER(J73),E73&gt;0),J73/E73-1,"")</f>
        <v>0.5</v>
      </c>
      <c r="L73" s="11"/>
      <c r="M73" s="12"/>
      <c r="N73" s="13" t="n">
        <f aca="false">IF(L73="Своя ціна",M73,IF(L73="Прийняти",IF(ISNUMBER(J73),J73,E73),E73))</f>
        <v>400</v>
      </c>
      <c r="O73" s="8" t="s">
        <v>230</v>
      </c>
      <c r="P73" s="14" t="s">
        <v>231</v>
      </c>
    </row>
    <row r="74" customFormat="false" ht="53.7" hidden="false" customHeight="false" outlineLevel="0" collapsed="false">
      <c r="A74" s="8" t="s">
        <v>10</v>
      </c>
      <c r="B74" s="8" t="s">
        <v>219</v>
      </c>
      <c r="C74" s="8" t="s">
        <v>232</v>
      </c>
      <c r="D74" s="8" t="s">
        <v>61</v>
      </c>
      <c r="E74" s="9" t="n">
        <v>900</v>
      </c>
      <c r="F74" s="9" t="n">
        <v>1390</v>
      </c>
      <c r="G74" s="9" t="n">
        <v>2000</v>
      </c>
      <c r="H74" s="9" t="n">
        <v>3200</v>
      </c>
      <c r="I74" s="8" t="s">
        <v>42</v>
      </c>
      <c r="J74" s="9" t="n">
        <v>2000</v>
      </c>
      <c r="K74" s="10" t="n">
        <f aca="false">IF(AND(ISNUMBER(J74),E74&gt;0),J74/E74-1,"")</f>
        <v>1.22222222222222</v>
      </c>
      <c r="L74" s="11"/>
      <c r="M74" s="12"/>
      <c r="N74" s="13" t="n">
        <f aca="false">IF(L74="Своя ціна",M74,IF(L74="Прийняти",IF(ISNUMBER(J74),J74,E74),E74))</f>
        <v>900</v>
      </c>
      <c r="O74" s="8" t="s">
        <v>233</v>
      </c>
      <c r="P74" s="14" t="s">
        <v>234</v>
      </c>
    </row>
    <row r="75" customFormat="false" ht="74.6" hidden="false" customHeight="false" outlineLevel="0" collapsed="false">
      <c r="A75" s="8" t="s">
        <v>10</v>
      </c>
      <c r="B75" s="8" t="s">
        <v>219</v>
      </c>
      <c r="C75" s="8" t="s">
        <v>235</v>
      </c>
      <c r="D75" s="8" t="s">
        <v>41</v>
      </c>
      <c r="E75" s="9" t="n">
        <v>130</v>
      </c>
      <c r="F75" s="9" t="n">
        <v>190</v>
      </c>
      <c r="G75" s="9" t="n">
        <v>250</v>
      </c>
      <c r="H75" s="9" t="n">
        <v>600</v>
      </c>
      <c r="I75" s="8" t="s">
        <v>42</v>
      </c>
      <c r="J75" s="9" t="n">
        <v>220</v>
      </c>
      <c r="K75" s="10" t="n">
        <f aca="false">IF(AND(ISNUMBER(J75),E75&gt;0),J75/E75-1,"")</f>
        <v>0.692307692307692</v>
      </c>
      <c r="L75" s="11"/>
      <c r="M75" s="12"/>
      <c r="N75" s="13" t="n">
        <f aca="false">IF(L75="Своя ціна",M75,IF(L75="Прийняти",IF(ISNUMBER(J75),J75,E75),E75))</f>
        <v>130</v>
      </c>
      <c r="O75" s="8" t="s">
        <v>236</v>
      </c>
      <c r="P75" s="14" t="s">
        <v>237</v>
      </c>
    </row>
    <row r="76" customFormat="false" ht="43.25" hidden="false" customHeight="false" outlineLevel="0" collapsed="false">
      <c r="A76" s="8" t="s">
        <v>10</v>
      </c>
      <c r="B76" s="8" t="s">
        <v>238</v>
      </c>
      <c r="C76" s="8" t="s">
        <v>239</v>
      </c>
      <c r="D76" s="8" t="s">
        <v>41</v>
      </c>
      <c r="E76" s="9" t="n">
        <v>400</v>
      </c>
      <c r="F76" s="9" t="n">
        <v>440</v>
      </c>
      <c r="G76" s="9" t="n">
        <v>665</v>
      </c>
      <c r="H76" s="9" t="n">
        <v>890</v>
      </c>
      <c r="I76" s="8" t="s">
        <v>42</v>
      </c>
      <c r="J76" s="9" t="n">
        <v>650</v>
      </c>
      <c r="K76" s="10" t="n">
        <f aca="false">IF(AND(ISNUMBER(J76),E76&gt;0),J76/E76-1,"")</f>
        <v>0.625</v>
      </c>
      <c r="L76" s="11"/>
      <c r="M76" s="12"/>
      <c r="N76" s="13" t="n">
        <f aca="false">IF(L76="Своя ціна",M76,IF(L76="Прийняти",IF(ISNUMBER(J76),J76,E76),E76))</f>
        <v>400</v>
      </c>
      <c r="O76" s="8" t="s">
        <v>240</v>
      </c>
      <c r="P76" s="14" t="s">
        <v>241</v>
      </c>
    </row>
    <row r="77" customFormat="false" ht="64.15" hidden="false" customHeight="false" outlineLevel="0" collapsed="false">
      <c r="A77" s="8" t="s">
        <v>10</v>
      </c>
      <c r="B77" s="8" t="s">
        <v>238</v>
      </c>
      <c r="C77" s="8" t="s">
        <v>242</v>
      </c>
      <c r="D77" s="8" t="s">
        <v>41</v>
      </c>
      <c r="E77" s="9" t="n">
        <v>300</v>
      </c>
      <c r="F77" s="9" t="n">
        <v>320</v>
      </c>
      <c r="G77" s="9" t="n">
        <v>470</v>
      </c>
      <c r="H77" s="9" t="n">
        <v>650</v>
      </c>
      <c r="I77" s="8" t="s">
        <v>42</v>
      </c>
      <c r="J77" s="9" t="n">
        <v>450</v>
      </c>
      <c r="K77" s="10" t="n">
        <f aca="false">IF(AND(ISNUMBER(J77),E77&gt;0),J77/E77-1,"")</f>
        <v>0.5</v>
      </c>
      <c r="L77" s="11"/>
      <c r="M77" s="12"/>
      <c r="N77" s="13" t="n">
        <f aca="false">IF(L77="Своя ціна",M77,IF(L77="Прийняти",IF(ISNUMBER(J77),J77,E77),E77))</f>
        <v>300</v>
      </c>
      <c r="O77" s="8" t="s">
        <v>243</v>
      </c>
      <c r="P77" s="14" t="s">
        <v>244</v>
      </c>
    </row>
    <row r="78" customFormat="false" ht="53.7" hidden="false" customHeight="false" outlineLevel="0" collapsed="false">
      <c r="A78" s="8" t="s">
        <v>10</v>
      </c>
      <c r="B78" s="8" t="s">
        <v>238</v>
      </c>
      <c r="C78" s="8" t="s">
        <v>245</v>
      </c>
      <c r="D78" s="8" t="s">
        <v>41</v>
      </c>
      <c r="E78" s="9" t="n">
        <v>180</v>
      </c>
      <c r="F78" s="9" t="n">
        <v>180</v>
      </c>
      <c r="G78" s="9" t="n">
        <v>270</v>
      </c>
      <c r="H78" s="9" t="n">
        <v>420</v>
      </c>
      <c r="I78" s="8" t="s">
        <v>42</v>
      </c>
      <c r="J78" s="9" t="n">
        <v>260</v>
      </c>
      <c r="K78" s="10" t="n">
        <f aca="false">IF(AND(ISNUMBER(J78),E78&gt;0),J78/E78-1,"")</f>
        <v>0.444444444444444</v>
      </c>
      <c r="L78" s="11"/>
      <c r="M78" s="12"/>
      <c r="N78" s="13" t="n">
        <f aca="false">IF(L78="Своя ціна",M78,IF(L78="Прийняти",IF(ISNUMBER(J78),J78,E78),E78))</f>
        <v>180</v>
      </c>
      <c r="O78" s="8" t="s">
        <v>246</v>
      </c>
      <c r="P78" s="14" t="s">
        <v>247</v>
      </c>
    </row>
    <row r="79" customFormat="false" ht="64.15" hidden="false" customHeight="false" outlineLevel="0" collapsed="false">
      <c r="A79" s="8" t="s">
        <v>10</v>
      </c>
      <c r="B79" s="8" t="s">
        <v>238</v>
      </c>
      <c r="C79" s="8" t="s">
        <v>248</v>
      </c>
      <c r="D79" s="8" t="s">
        <v>41</v>
      </c>
      <c r="E79" s="9" t="n">
        <v>50</v>
      </c>
      <c r="F79" s="9" t="n">
        <v>70</v>
      </c>
      <c r="G79" s="9" t="n">
        <v>95</v>
      </c>
      <c r="H79" s="9" t="n">
        <v>150</v>
      </c>
      <c r="I79" s="8" t="s">
        <v>42</v>
      </c>
      <c r="J79" s="9" t="n">
        <v>90</v>
      </c>
      <c r="K79" s="10" t="n">
        <f aca="false">IF(AND(ISNUMBER(J79),E79&gt;0),J79/E79-1,"")</f>
        <v>0.8</v>
      </c>
      <c r="L79" s="11"/>
      <c r="M79" s="12"/>
      <c r="N79" s="13" t="n">
        <f aca="false">IF(L79="Своя ціна",M79,IF(L79="Прийняти",IF(ISNUMBER(J79),J79,E79),E79))</f>
        <v>50</v>
      </c>
      <c r="O79" s="8" t="s">
        <v>249</v>
      </c>
      <c r="P79" s="14" t="s">
        <v>250</v>
      </c>
    </row>
    <row r="80" customFormat="false" ht="43.25" hidden="false" customHeight="false" outlineLevel="0" collapsed="false">
      <c r="A80" s="8" t="s">
        <v>10</v>
      </c>
      <c r="B80" s="8" t="s">
        <v>238</v>
      </c>
      <c r="C80" s="8" t="s">
        <v>251</v>
      </c>
      <c r="D80" s="8" t="s">
        <v>41</v>
      </c>
      <c r="E80" s="9" t="n">
        <v>500</v>
      </c>
      <c r="F80" s="9" t="n">
        <v>450</v>
      </c>
      <c r="G80" s="9" t="n">
        <v>800</v>
      </c>
      <c r="H80" s="9" t="n">
        <v>1090</v>
      </c>
      <c r="I80" s="8" t="s">
        <v>42</v>
      </c>
      <c r="J80" s="9" t="n">
        <v>750</v>
      </c>
      <c r="K80" s="10" t="n">
        <f aca="false">IF(AND(ISNUMBER(J80),E80&gt;0),J80/E80-1,"")</f>
        <v>0.5</v>
      </c>
      <c r="L80" s="11"/>
      <c r="M80" s="12"/>
      <c r="N80" s="13" t="n">
        <f aca="false">IF(L80="Своя ціна",M80,IF(L80="Прийняти",IF(ISNUMBER(J80),J80,E80),E80))</f>
        <v>500</v>
      </c>
      <c r="O80" s="8" t="s">
        <v>252</v>
      </c>
      <c r="P80" s="14" t="s">
        <v>253</v>
      </c>
    </row>
    <row r="81" customFormat="false" ht="43.25" hidden="false" customHeight="false" outlineLevel="0" collapsed="false">
      <c r="A81" s="8" t="s">
        <v>10</v>
      </c>
      <c r="B81" s="8" t="s">
        <v>238</v>
      </c>
      <c r="C81" s="8" t="s">
        <v>254</v>
      </c>
      <c r="D81" s="8" t="s">
        <v>41</v>
      </c>
      <c r="E81" s="9" t="n">
        <v>500</v>
      </c>
      <c r="F81" s="9" t="n">
        <v>500</v>
      </c>
      <c r="G81" s="9" t="n">
        <v>670</v>
      </c>
      <c r="H81" s="9" t="n">
        <v>850</v>
      </c>
      <c r="I81" s="8" t="s">
        <v>42</v>
      </c>
      <c r="J81" s="9" t="n">
        <v>650</v>
      </c>
      <c r="K81" s="10" t="n">
        <f aca="false">IF(AND(ISNUMBER(J81),E81&gt;0),J81/E81-1,"")</f>
        <v>0.3</v>
      </c>
      <c r="L81" s="11"/>
      <c r="M81" s="12"/>
      <c r="N81" s="13" t="n">
        <f aca="false">IF(L81="Своя ціна",M81,IF(L81="Прийняти",IF(ISNUMBER(J81),J81,E81),E81))</f>
        <v>500</v>
      </c>
      <c r="O81" s="8" t="s">
        <v>255</v>
      </c>
      <c r="P81" s="14" t="s">
        <v>256</v>
      </c>
    </row>
    <row r="82" customFormat="false" ht="116.4" hidden="false" customHeight="false" outlineLevel="0" collapsed="false">
      <c r="A82" s="8" t="s">
        <v>10</v>
      </c>
      <c r="B82" s="8" t="s">
        <v>238</v>
      </c>
      <c r="C82" s="8" t="s">
        <v>257</v>
      </c>
      <c r="D82" s="8" t="s">
        <v>41</v>
      </c>
      <c r="E82" s="9" t="n">
        <v>270</v>
      </c>
      <c r="F82" s="9" t="n">
        <v>250</v>
      </c>
      <c r="G82" s="9" t="n">
        <v>350</v>
      </c>
      <c r="H82" s="9" t="n">
        <v>500</v>
      </c>
      <c r="I82" s="8" t="s">
        <v>42</v>
      </c>
      <c r="J82" s="9" t="n">
        <v>340</v>
      </c>
      <c r="K82" s="10" t="n">
        <f aca="false">IF(AND(ISNUMBER(J82),E82&gt;0),J82/E82-1,"")</f>
        <v>0.259259259259259</v>
      </c>
      <c r="L82" s="11"/>
      <c r="M82" s="12"/>
      <c r="N82" s="13" t="n">
        <f aca="false">IF(L82="Своя ціна",M82,IF(L82="Прийняти",IF(ISNUMBER(J82),J82,E82),E82))</f>
        <v>270</v>
      </c>
      <c r="O82" s="8" t="s">
        <v>258</v>
      </c>
      <c r="P82" s="14" t="s">
        <v>259</v>
      </c>
    </row>
    <row r="83" customFormat="false" ht="53.7" hidden="false" customHeight="false" outlineLevel="0" collapsed="false">
      <c r="A83" s="8" t="s">
        <v>10</v>
      </c>
      <c r="B83" s="8" t="s">
        <v>238</v>
      </c>
      <c r="C83" s="8" t="s">
        <v>260</v>
      </c>
      <c r="D83" s="8" t="s">
        <v>41</v>
      </c>
      <c r="E83" s="9" t="n">
        <v>300</v>
      </c>
      <c r="F83" s="9" t="n">
        <v>280</v>
      </c>
      <c r="G83" s="9" t="n">
        <v>370</v>
      </c>
      <c r="H83" s="9" t="n">
        <v>500</v>
      </c>
      <c r="I83" s="8" t="s">
        <v>42</v>
      </c>
      <c r="J83" s="9" t="n">
        <v>380</v>
      </c>
      <c r="K83" s="10" t="n">
        <f aca="false">IF(AND(ISNUMBER(J83),E83&gt;0),J83/E83-1,"")</f>
        <v>0.266666666666667</v>
      </c>
      <c r="L83" s="11"/>
      <c r="M83" s="12"/>
      <c r="N83" s="13" t="n">
        <f aca="false">IF(L83="Своя ціна",M83,IF(L83="Прийняти",IF(ISNUMBER(J83),J83,E83),E83))</f>
        <v>300</v>
      </c>
      <c r="O83" s="8" t="s">
        <v>261</v>
      </c>
      <c r="P83" s="14" t="s">
        <v>262</v>
      </c>
    </row>
    <row r="84" customFormat="false" ht="105.95" hidden="false" customHeight="false" outlineLevel="0" collapsed="false">
      <c r="A84" s="8" t="s">
        <v>10</v>
      </c>
      <c r="B84" s="8" t="s">
        <v>219</v>
      </c>
      <c r="C84" s="8" t="s">
        <v>263</v>
      </c>
      <c r="D84" s="8" t="s">
        <v>41</v>
      </c>
      <c r="E84" s="9" t="n">
        <v>800</v>
      </c>
      <c r="F84" s="9" t="n">
        <v>380</v>
      </c>
      <c r="G84" s="9" t="n">
        <v>650</v>
      </c>
      <c r="H84" s="9" t="n">
        <v>1100</v>
      </c>
      <c r="I84" s="8" t="s">
        <v>105</v>
      </c>
      <c r="J84" s="9" t="n">
        <v>650</v>
      </c>
      <c r="K84" s="10" t="n">
        <f aca="false">IF(AND(ISNUMBER(J84),E84&gt;0),J84/E84-1,"")</f>
        <v>-0.1875</v>
      </c>
      <c r="L84" s="11"/>
      <c r="M84" s="12"/>
      <c r="N84" s="13" t="n">
        <f aca="false">IF(L84="Своя ціна",M84,IF(L84="Прийняти",IF(ISNUMBER(J84),J84,E84),E84))</f>
        <v>800</v>
      </c>
      <c r="O84" s="8" t="s">
        <v>264</v>
      </c>
      <c r="P84" s="14" t="s">
        <v>265</v>
      </c>
    </row>
    <row r="85" customFormat="false" ht="64.15" hidden="false" customHeight="false" outlineLevel="0" collapsed="false">
      <c r="A85" s="8" t="s">
        <v>10</v>
      </c>
      <c r="B85" s="8" t="s">
        <v>219</v>
      </c>
      <c r="C85" s="8" t="s">
        <v>266</v>
      </c>
      <c r="D85" s="8" t="s">
        <v>41</v>
      </c>
      <c r="E85" s="9" t="n">
        <v>900</v>
      </c>
      <c r="F85" s="9" t="n">
        <v>700</v>
      </c>
      <c r="G85" s="9" t="n">
        <v>750</v>
      </c>
      <c r="H85" s="9" t="n">
        <v>900</v>
      </c>
      <c r="I85" s="8" t="s">
        <v>105</v>
      </c>
      <c r="J85" s="9" t="n">
        <v>780</v>
      </c>
      <c r="K85" s="10" t="n">
        <f aca="false">IF(AND(ISNUMBER(J85),E85&gt;0),J85/E85-1,"")</f>
        <v>-0.133333333333333</v>
      </c>
      <c r="L85" s="11"/>
      <c r="M85" s="12"/>
      <c r="N85" s="13" t="n">
        <f aca="false">IF(L85="Своя ціна",M85,IF(L85="Прийняти",IF(ISNUMBER(J85),J85,E85),E85))</f>
        <v>900</v>
      </c>
      <c r="O85" s="8" t="s">
        <v>267</v>
      </c>
      <c r="P85" s="14" t="s">
        <v>268</v>
      </c>
    </row>
    <row r="86" customFormat="false" ht="43.25" hidden="false" customHeight="false" outlineLevel="0" collapsed="false">
      <c r="A86" s="8" t="s">
        <v>10</v>
      </c>
      <c r="B86" s="8" t="s">
        <v>238</v>
      </c>
      <c r="C86" s="8" t="s">
        <v>269</v>
      </c>
      <c r="D86" s="8" t="s">
        <v>41</v>
      </c>
      <c r="E86" s="9" t="n">
        <v>700</v>
      </c>
      <c r="F86" s="9" t="n">
        <v>360</v>
      </c>
      <c r="G86" s="9" t="n">
        <v>500</v>
      </c>
      <c r="H86" s="9" t="n">
        <v>700</v>
      </c>
      <c r="I86" s="8" t="s">
        <v>105</v>
      </c>
      <c r="J86" s="9" t="n">
        <v>520</v>
      </c>
      <c r="K86" s="10" t="n">
        <f aca="false">IF(AND(ISNUMBER(J86),E86&gt;0),J86/E86-1,"")</f>
        <v>-0.257142857142857</v>
      </c>
      <c r="L86" s="11"/>
      <c r="M86" s="12"/>
      <c r="N86" s="13" t="n">
        <f aca="false">IF(L86="Своя ціна",M86,IF(L86="Прийняти",IF(ISNUMBER(J86),J86,E86),E86))</f>
        <v>700</v>
      </c>
      <c r="O86" s="8" t="s">
        <v>270</v>
      </c>
      <c r="P86" s="14" t="s">
        <v>271</v>
      </c>
    </row>
    <row r="87" customFormat="false" ht="43.25" hidden="false" customHeight="false" outlineLevel="0" collapsed="false">
      <c r="A87" s="8" t="s">
        <v>10</v>
      </c>
      <c r="B87" s="8" t="s">
        <v>238</v>
      </c>
      <c r="C87" s="8" t="s">
        <v>272</v>
      </c>
      <c r="D87" s="8" t="s">
        <v>41</v>
      </c>
      <c r="E87" s="9" t="n">
        <v>650</v>
      </c>
      <c r="F87" s="9" t="n">
        <v>300</v>
      </c>
      <c r="G87" s="9" t="n">
        <v>480</v>
      </c>
      <c r="H87" s="9" t="n">
        <v>700</v>
      </c>
      <c r="I87" s="8" t="s">
        <v>105</v>
      </c>
      <c r="J87" s="9" t="n">
        <v>500</v>
      </c>
      <c r="K87" s="10" t="n">
        <f aca="false">IF(AND(ISNUMBER(J87),E87&gt;0),J87/E87-1,"")</f>
        <v>-0.230769230769231</v>
      </c>
      <c r="L87" s="11"/>
      <c r="M87" s="12"/>
      <c r="N87" s="13" t="n">
        <f aca="false">IF(L87="Своя ціна",M87,IF(L87="Прийняти",IF(ISNUMBER(J87),J87,E87),E87))</f>
        <v>650</v>
      </c>
      <c r="O87" s="8" t="s">
        <v>273</v>
      </c>
      <c r="P87" s="14" t="s">
        <v>274</v>
      </c>
    </row>
    <row r="88" customFormat="false" ht="105.95" hidden="false" customHeight="false" outlineLevel="0" collapsed="false">
      <c r="A88" s="8" t="s">
        <v>10</v>
      </c>
      <c r="B88" s="8" t="s">
        <v>238</v>
      </c>
      <c r="C88" s="8" t="s">
        <v>275</v>
      </c>
      <c r="D88" s="8" t="s">
        <v>41</v>
      </c>
      <c r="E88" s="9" t="n">
        <v>240</v>
      </c>
      <c r="F88" s="9" t="n">
        <v>120</v>
      </c>
      <c r="G88" s="9" t="n">
        <v>195</v>
      </c>
      <c r="H88" s="9" t="n">
        <v>350</v>
      </c>
      <c r="I88" s="8" t="s">
        <v>105</v>
      </c>
      <c r="J88" s="9" t="n">
        <v>200</v>
      </c>
      <c r="K88" s="10" t="n">
        <f aca="false">IF(AND(ISNUMBER(J88),E88&gt;0),J88/E88-1,"")</f>
        <v>-0.166666666666667</v>
      </c>
      <c r="L88" s="11"/>
      <c r="M88" s="12"/>
      <c r="N88" s="13" t="n">
        <f aca="false">IF(L88="Своя ціна",M88,IF(L88="Прийняти",IF(ISNUMBER(J88),J88,E88),E88))</f>
        <v>240</v>
      </c>
      <c r="O88" s="8" t="s">
        <v>276</v>
      </c>
      <c r="P88" s="14" t="s">
        <v>277</v>
      </c>
    </row>
    <row r="89" customFormat="false" ht="64.15" hidden="false" customHeight="false" outlineLevel="0" collapsed="false">
      <c r="A89" s="8" t="s">
        <v>10</v>
      </c>
      <c r="B89" s="8" t="s">
        <v>238</v>
      </c>
      <c r="C89" s="8" t="s">
        <v>278</v>
      </c>
      <c r="D89" s="8" t="s">
        <v>41</v>
      </c>
      <c r="E89" s="9" t="n">
        <v>300</v>
      </c>
      <c r="F89" s="9" t="n">
        <v>150</v>
      </c>
      <c r="G89" s="9" t="n">
        <v>220</v>
      </c>
      <c r="H89" s="9" t="n">
        <v>350</v>
      </c>
      <c r="I89" s="8" t="s">
        <v>105</v>
      </c>
      <c r="J89" s="9" t="n">
        <v>240</v>
      </c>
      <c r="K89" s="10" t="n">
        <f aca="false">IF(AND(ISNUMBER(J89),E89&gt;0),J89/E89-1,"")</f>
        <v>-0.2</v>
      </c>
      <c r="L89" s="11"/>
      <c r="M89" s="12"/>
      <c r="N89" s="13" t="n">
        <f aca="false">IF(L89="Своя ціна",M89,IF(L89="Прийняти",IF(ISNUMBER(J89),J89,E89),E89))</f>
        <v>300</v>
      </c>
      <c r="O89" s="8" t="s">
        <v>279</v>
      </c>
      <c r="P89" s="14" t="s">
        <v>280</v>
      </c>
    </row>
    <row r="90" customFormat="false" ht="23.85" hidden="false" customHeight="false" outlineLevel="0" collapsed="false">
      <c r="A90" s="8" t="s">
        <v>10</v>
      </c>
      <c r="B90" s="8" t="s">
        <v>219</v>
      </c>
      <c r="C90" s="8" t="s">
        <v>281</v>
      </c>
      <c r="D90" s="8" t="s">
        <v>41</v>
      </c>
      <c r="E90" s="9" t="n">
        <v>280</v>
      </c>
      <c r="F90" s="9"/>
      <c r="G90" s="9"/>
      <c r="H90" s="9"/>
      <c r="I90" s="8" t="s">
        <v>121</v>
      </c>
      <c r="J90" s="9"/>
      <c r="K90" s="10" t="str">
        <f aca="false">IF(AND(ISNUMBER(J90),E90&gt;0),J90/E90-1,"")</f>
        <v/>
      </c>
      <c r="L90" s="11"/>
      <c r="M90" s="12"/>
      <c r="N90" s="13" t="n">
        <f aca="false">IF(L90="Своя ціна",M90,IF(L90="Прийняти",IF(ISNUMBER(J90),J90,E90),E90))</f>
        <v>280</v>
      </c>
      <c r="O90" s="8" t="s">
        <v>282</v>
      </c>
      <c r="P90" s="14" t="s">
        <v>283</v>
      </c>
    </row>
    <row r="91" customFormat="false" ht="74.6" hidden="false" customHeight="false" outlineLevel="0" collapsed="false">
      <c r="A91" s="8" t="s">
        <v>10</v>
      </c>
      <c r="B91" s="8" t="s">
        <v>219</v>
      </c>
      <c r="C91" s="8" t="s">
        <v>284</v>
      </c>
      <c r="D91" s="8" t="s">
        <v>49</v>
      </c>
      <c r="E91" s="9" t="n">
        <v>100</v>
      </c>
      <c r="F91" s="9" t="n">
        <v>60</v>
      </c>
      <c r="G91" s="9" t="n">
        <v>105</v>
      </c>
      <c r="H91" s="9" t="n">
        <v>150</v>
      </c>
      <c r="I91" s="8" t="s">
        <v>128</v>
      </c>
      <c r="J91" s="9"/>
      <c r="K91" s="10" t="str">
        <f aca="false">IF(AND(ISNUMBER(J91),E91&gt;0),J91/E91-1,"")</f>
        <v/>
      </c>
      <c r="L91" s="11"/>
      <c r="M91" s="12"/>
      <c r="N91" s="13" t="n">
        <f aca="false">IF(L91="Своя ціна",M91,IF(L91="Прийняти",IF(ISNUMBER(J91),J91,E91),E91))</f>
        <v>100</v>
      </c>
      <c r="O91" s="8"/>
      <c r="P91" s="14" t="s">
        <v>285</v>
      </c>
    </row>
    <row r="92" customFormat="false" ht="64.15" hidden="false" customHeight="false" outlineLevel="0" collapsed="false">
      <c r="A92" s="8" t="s">
        <v>10</v>
      </c>
      <c r="B92" s="8" t="s">
        <v>219</v>
      </c>
      <c r="C92" s="8" t="s">
        <v>286</v>
      </c>
      <c r="D92" s="8" t="s">
        <v>61</v>
      </c>
      <c r="E92" s="9" t="n">
        <v>1500</v>
      </c>
      <c r="F92" s="9" t="n">
        <v>850</v>
      </c>
      <c r="G92" s="9" t="n">
        <v>1450</v>
      </c>
      <c r="H92" s="9" t="n">
        <v>2100</v>
      </c>
      <c r="I92" s="8" t="s">
        <v>128</v>
      </c>
      <c r="J92" s="9"/>
      <c r="K92" s="10" t="str">
        <f aca="false">IF(AND(ISNUMBER(J92),E92&gt;0),J92/E92-1,"")</f>
        <v/>
      </c>
      <c r="L92" s="11"/>
      <c r="M92" s="12"/>
      <c r="N92" s="13" t="n">
        <f aca="false">IF(L92="Своя ціна",M92,IF(L92="Прийняти",IF(ISNUMBER(J92),J92,E92),E92))</f>
        <v>1500</v>
      </c>
      <c r="O92" s="8"/>
      <c r="P92" s="14" t="s">
        <v>287</v>
      </c>
    </row>
    <row r="93" customFormat="false" ht="74.6" hidden="false" customHeight="false" outlineLevel="0" collapsed="false">
      <c r="A93" s="8" t="s">
        <v>10</v>
      </c>
      <c r="B93" s="8" t="s">
        <v>219</v>
      </c>
      <c r="C93" s="8" t="s">
        <v>288</v>
      </c>
      <c r="D93" s="8" t="s">
        <v>49</v>
      </c>
      <c r="E93" s="9" t="n">
        <v>620</v>
      </c>
      <c r="F93" s="9" t="n">
        <v>300</v>
      </c>
      <c r="G93" s="9" t="n">
        <v>500</v>
      </c>
      <c r="H93" s="9" t="n">
        <v>800</v>
      </c>
      <c r="I93" s="8" t="s">
        <v>128</v>
      </c>
      <c r="J93" s="9"/>
      <c r="K93" s="10" t="str">
        <f aca="false">IF(AND(ISNUMBER(J93),E93&gt;0),J93/E93-1,"")</f>
        <v/>
      </c>
      <c r="L93" s="11"/>
      <c r="M93" s="12"/>
      <c r="N93" s="13" t="n">
        <f aca="false">IF(L93="Своя ціна",M93,IF(L93="Прийняти",IF(ISNUMBER(J93),J93,E93),E93))</f>
        <v>620</v>
      </c>
      <c r="O93" s="8" t="s">
        <v>289</v>
      </c>
      <c r="P93" s="14" t="s">
        <v>290</v>
      </c>
    </row>
    <row r="94" customFormat="false" ht="74.6" hidden="false" customHeight="false" outlineLevel="0" collapsed="false">
      <c r="A94" s="8" t="s">
        <v>10</v>
      </c>
      <c r="B94" s="8" t="s">
        <v>219</v>
      </c>
      <c r="C94" s="8" t="s">
        <v>291</v>
      </c>
      <c r="D94" s="8" t="s">
        <v>41</v>
      </c>
      <c r="E94" s="9" t="n">
        <v>560</v>
      </c>
      <c r="F94" s="9" t="n">
        <v>300</v>
      </c>
      <c r="G94" s="9" t="n">
        <v>520</v>
      </c>
      <c r="H94" s="9" t="n">
        <v>750</v>
      </c>
      <c r="I94" s="8" t="s">
        <v>128</v>
      </c>
      <c r="J94" s="9"/>
      <c r="K94" s="10" t="str">
        <f aca="false">IF(AND(ISNUMBER(J94),E94&gt;0),J94/E94-1,"")</f>
        <v/>
      </c>
      <c r="L94" s="11"/>
      <c r="M94" s="12"/>
      <c r="N94" s="13" t="n">
        <f aca="false">IF(L94="Своя ціна",M94,IF(L94="Прийняти",IF(ISNUMBER(J94),J94,E94),E94))</f>
        <v>560</v>
      </c>
      <c r="O94" s="8"/>
      <c r="P94" s="14" t="s">
        <v>292</v>
      </c>
    </row>
    <row r="95" customFormat="false" ht="74.6" hidden="false" customHeight="false" outlineLevel="0" collapsed="false">
      <c r="A95" s="8" t="s">
        <v>10</v>
      </c>
      <c r="B95" s="8" t="s">
        <v>219</v>
      </c>
      <c r="C95" s="8" t="s">
        <v>293</v>
      </c>
      <c r="D95" s="8" t="s">
        <v>41</v>
      </c>
      <c r="E95" s="9" t="n">
        <v>430</v>
      </c>
      <c r="F95" s="9" t="n">
        <v>250</v>
      </c>
      <c r="G95" s="9" t="n">
        <v>410</v>
      </c>
      <c r="H95" s="9" t="n">
        <v>650</v>
      </c>
      <c r="I95" s="8" t="s">
        <v>128</v>
      </c>
      <c r="J95" s="9"/>
      <c r="K95" s="10" t="str">
        <f aca="false">IF(AND(ISNUMBER(J95),E95&gt;0),J95/E95-1,"")</f>
        <v/>
      </c>
      <c r="L95" s="11"/>
      <c r="M95" s="12"/>
      <c r="N95" s="13" t="n">
        <f aca="false">IF(L95="Своя ціна",M95,IF(L95="Прийняти",IF(ISNUMBER(J95),J95,E95),E95))</f>
        <v>430</v>
      </c>
      <c r="O95" s="8"/>
      <c r="P95" s="14" t="s">
        <v>294</v>
      </c>
    </row>
    <row r="96" customFormat="false" ht="64.15" hidden="false" customHeight="false" outlineLevel="0" collapsed="false">
      <c r="A96" s="8" t="s">
        <v>10</v>
      </c>
      <c r="B96" s="8" t="s">
        <v>219</v>
      </c>
      <c r="C96" s="8" t="s">
        <v>295</v>
      </c>
      <c r="D96" s="8" t="s">
        <v>49</v>
      </c>
      <c r="E96" s="9" t="n">
        <v>550</v>
      </c>
      <c r="F96" s="9" t="n">
        <v>300</v>
      </c>
      <c r="G96" s="9" t="n">
        <v>510</v>
      </c>
      <c r="H96" s="9" t="n">
        <v>800</v>
      </c>
      <c r="I96" s="8" t="s">
        <v>128</v>
      </c>
      <c r="J96" s="9"/>
      <c r="K96" s="10" t="str">
        <f aca="false">IF(AND(ISNUMBER(J96),E96&gt;0),J96/E96-1,"")</f>
        <v/>
      </c>
      <c r="L96" s="11"/>
      <c r="M96" s="12"/>
      <c r="N96" s="13" t="n">
        <f aca="false">IF(L96="Своя ціна",M96,IF(L96="Прийняти",IF(ISNUMBER(J96),J96,E96),E96))</f>
        <v>550</v>
      </c>
      <c r="O96" s="8"/>
      <c r="P96" s="14" t="s">
        <v>296</v>
      </c>
    </row>
    <row r="97" customFormat="false" ht="53.7" hidden="false" customHeight="false" outlineLevel="0" collapsed="false">
      <c r="A97" s="8" t="s">
        <v>10</v>
      </c>
      <c r="B97" s="8" t="s">
        <v>219</v>
      </c>
      <c r="C97" s="8" t="s">
        <v>297</v>
      </c>
      <c r="D97" s="8" t="s">
        <v>41</v>
      </c>
      <c r="E97" s="9" t="n">
        <v>160</v>
      </c>
      <c r="F97" s="9" t="n">
        <v>120</v>
      </c>
      <c r="G97" s="9" t="n">
        <v>200</v>
      </c>
      <c r="H97" s="9" t="n">
        <v>300</v>
      </c>
      <c r="I97" s="8" t="s">
        <v>128</v>
      </c>
      <c r="J97" s="9"/>
      <c r="K97" s="10" t="str">
        <f aca="false">IF(AND(ISNUMBER(J97),E97&gt;0),J97/E97-1,"")</f>
        <v/>
      </c>
      <c r="L97" s="11"/>
      <c r="M97" s="12"/>
      <c r="N97" s="13" t="n">
        <f aca="false">IF(L97="Своя ціна",M97,IF(L97="Прийняти",IF(ISNUMBER(J97),J97,E97),E97))</f>
        <v>160</v>
      </c>
      <c r="O97" s="8"/>
      <c r="P97" s="14" t="s">
        <v>298</v>
      </c>
    </row>
    <row r="98" customFormat="false" ht="74.6" hidden="false" customHeight="false" outlineLevel="0" collapsed="false">
      <c r="A98" s="8" t="s">
        <v>10</v>
      </c>
      <c r="B98" s="8" t="s">
        <v>238</v>
      </c>
      <c r="C98" s="8" t="s">
        <v>299</v>
      </c>
      <c r="D98" s="8" t="s">
        <v>41</v>
      </c>
      <c r="E98" s="9" t="n">
        <v>100</v>
      </c>
      <c r="F98" s="9" t="n">
        <v>60</v>
      </c>
      <c r="G98" s="9" t="n">
        <v>90</v>
      </c>
      <c r="H98" s="9" t="n">
        <v>123</v>
      </c>
      <c r="I98" s="8" t="s">
        <v>128</v>
      </c>
      <c r="J98" s="9"/>
      <c r="K98" s="10" t="str">
        <f aca="false">IF(AND(ISNUMBER(J98),E98&gt;0),J98/E98-1,"")</f>
        <v/>
      </c>
      <c r="L98" s="11"/>
      <c r="M98" s="12"/>
      <c r="N98" s="13" t="n">
        <f aca="false">IF(L98="Своя ціна",M98,IF(L98="Прийняти",IF(ISNUMBER(J98),J98,E98),E98))</f>
        <v>100</v>
      </c>
      <c r="O98" s="8"/>
      <c r="P98" s="14" t="s">
        <v>300</v>
      </c>
    </row>
    <row r="99" customFormat="false" ht="85.05" hidden="false" customHeight="false" outlineLevel="0" collapsed="false">
      <c r="A99" s="8" t="s">
        <v>10</v>
      </c>
      <c r="B99" s="8" t="s">
        <v>238</v>
      </c>
      <c r="C99" s="8" t="s">
        <v>301</v>
      </c>
      <c r="D99" s="8" t="s">
        <v>41</v>
      </c>
      <c r="E99" s="9" t="n">
        <v>33</v>
      </c>
      <c r="F99" s="9" t="n">
        <v>25</v>
      </c>
      <c r="G99" s="9" t="n">
        <v>40</v>
      </c>
      <c r="H99" s="9" t="n">
        <v>55</v>
      </c>
      <c r="I99" s="8" t="s">
        <v>128</v>
      </c>
      <c r="J99" s="9" t="n">
        <v>40</v>
      </c>
      <c r="K99" s="10" t="n">
        <f aca="false">IF(AND(ISNUMBER(J99),E99&gt;0),J99/E99-1,"")</f>
        <v>0.212121212121212</v>
      </c>
      <c r="L99" s="11"/>
      <c r="M99" s="12"/>
      <c r="N99" s="13" t="n">
        <f aca="false">IF(L99="Своя ціна",M99,IF(L99="Прийняти",IF(ISNUMBER(J99),J99,E99),E99))</f>
        <v>33</v>
      </c>
      <c r="O99" s="8" t="s">
        <v>302</v>
      </c>
      <c r="P99" s="14" t="s">
        <v>303</v>
      </c>
    </row>
    <row r="100" customFormat="false" ht="43.25" hidden="false" customHeight="false" outlineLevel="0" collapsed="false">
      <c r="A100" s="8" t="s">
        <v>10</v>
      </c>
      <c r="B100" s="8" t="s">
        <v>238</v>
      </c>
      <c r="C100" s="8" t="s">
        <v>304</v>
      </c>
      <c r="D100" s="8" t="s">
        <v>41</v>
      </c>
      <c r="E100" s="9" t="n">
        <v>750</v>
      </c>
      <c r="F100" s="9" t="n">
        <v>400</v>
      </c>
      <c r="G100" s="9" t="n">
        <v>570</v>
      </c>
      <c r="H100" s="9" t="n">
        <v>790</v>
      </c>
      <c r="I100" s="8" t="s">
        <v>128</v>
      </c>
      <c r="J100" s="9"/>
      <c r="K100" s="10" t="str">
        <f aca="false">IF(AND(ISNUMBER(J100),E100&gt;0),J100/E100-1,"")</f>
        <v/>
      </c>
      <c r="L100" s="11"/>
      <c r="M100" s="12"/>
      <c r="N100" s="13" t="n">
        <f aca="false">IF(L100="Своя ціна",M100,IF(L100="Прийняти",IF(ISNUMBER(J100),J100,E100),E100))</f>
        <v>750</v>
      </c>
      <c r="O100" s="8" t="s">
        <v>305</v>
      </c>
      <c r="P100" s="14" t="s">
        <v>306</v>
      </c>
    </row>
    <row r="101" customFormat="false" ht="32.8" hidden="false" customHeight="false" outlineLevel="0" collapsed="false">
      <c r="A101" s="8" t="s">
        <v>10</v>
      </c>
      <c r="B101" s="8" t="s">
        <v>238</v>
      </c>
      <c r="C101" s="8" t="s">
        <v>307</v>
      </c>
      <c r="D101" s="8" t="s">
        <v>41</v>
      </c>
      <c r="E101" s="9" t="n">
        <v>500</v>
      </c>
      <c r="F101" s="9" t="n">
        <v>400</v>
      </c>
      <c r="G101" s="9" t="n">
        <v>510</v>
      </c>
      <c r="H101" s="9" t="n">
        <v>700</v>
      </c>
      <c r="I101" s="8" t="s">
        <v>128</v>
      </c>
      <c r="J101" s="9"/>
      <c r="K101" s="10" t="str">
        <f aca="false">IF(AND(ISNUMBER(J101),E101&gt;0),J101/E101-1,"")</f>
        <v/>
      </c>
      <c r="L101" s="11"/>
      <c r="M101" s="12"/>
      <c r="N101" s="13" t="n">
        <f aca="false">IF(L101="Своя ціна",M101,IF(L101="Прийняти",IF(ISNUMBER(J101),J101,E101),E101))</f>
        <v>500</v>
      </c>
      <c r="O101" s="8"/>
      <c r="P101" s="14" t="s">
        <v>308</v>
      </c>
    </row>
    <row r="102" customFormat="false" ht="43.25" hidden="false" customHeight="false" outlineLevel="0" collapsed="false">
      <c r="A102" s="8" t="s">
        <v>10</v>
      </c>
      <c r="B102" s="8" t="s">
        <v>238</v>
      </c>
      <c r="C102" s="8" t="s">
        <v>309</v>
      </c>
      <c r="D102" s="8" t="s">
        <v>41</v>
      </c>
      <c r="E102" s="9" t="n">
        <v>750</v>
      </c>
      <c r="F102" s="9" t="n">
        <v>400</v>
      </c>
      <c r="G102" s="9" t="n">
        <v>570</v>
      </c>
      <c r="H102" s="9" t="n">
        <v>790</v>
      </c>
      <c r="I102" s="8" t="s">
        <v>128</v>
      </c>
      <c r="J102" s="9"/>
      <c r="K102" s="10" t="str">
        <f aca="false">IF(AND(ISNUMBER(J102),E102&gt;0),J102/E102-1,"")</f>
        <v/>
      </c>
      <c r="L102" s="11"/>
      <c r="M102" s="12"/>
      <c r="N102" s="13" t="n">
        <f aca="false">IF(L102="Своя ціна",M102,IF(L102="Прийняти",IF(ISNUMBER(J102),J102,E102),E102))</f>
        <v>750</v>
      </c>
      <c r="O102" s="8" t="s">
        <v>310</v>
      </c>
      <c r="P102" s="14" t="s">
        <v>311</v>
      </c>
    </row>
    <row r="103" customFormat="false" ht="85.05" hidden="false" customHeight="false" outlineLevel="0" collapsed="false">
      <c r="A103" s="8" t="s">
        <v>10</v>
      </c>
      <c r="B103" s="8" t="s">
        <v>238</v>
      </c>
      <c r="C103" s="8" t="s">
        <v>312</v>
      </c>
      <c r="D103" s="8" t="s">
        <v>41</v>
      </c>
      <c r="E103" s="9" t="n">
        <v>160</v>
      </c>
      <c r="F103" s="9" t="n">
        <v>110</v>
      </c>
      <c r="G103" s="9" t="n">
        <v>170</v>
      </c>
      <c r="H103" s="9" t="n">
        <v>240</v>
      </c>
      <c r="I103" s="8" t="s">
        <v>128</v>
      </c>
      <c r="J103" s="9"/>
      <c r="K103" s="10" t="str">
        <f aca="false">IF(AND(ISNUMBER(J103),E103&gt;0),J103/E103-1,"")</f>
        <v/>
      </c>
      <c r="L103" s="11"/>
      <c r="M103" s="12"/>
      <c r="N103" s="13" t="n">
        <f aca="false">IF(L103="Своя ціна",M103,IF(L103="Прийняти",IF(ISNUMBER(J103),J103,E103),E103))</f>
        <v>160</v>
      </c>
      <c r="O103" s="8" t="s">
        <v>313</v>
      </c>
      <c r="P103" s="14" t="s">
        <v>314</v>
      </c>
    </row>
    <row r="104" customFormat="false" ht="64.15" hidden="false" customHeight="false" outlineLevel="0" collapsed="false">
      <c r="A104" s="8" t="s">
        <v>10</v>
      </c>
      <c r="B104" s="8" t="s">
        <v>238</v>
      </c>
      <c r="C104" s="8" t="s">
        <v>315</v>
      </c>
      <c r="D104" s="8" t="s">
        <v>41</v>
      </c>
      <c r="E104" s="9" t="n">
        <v>190</v>
      </c>
      <c r="F104" s="9" t="n">
        <v>140</v>
      </c>
      <c r="G104" s="9" t="n">
        <v>190</v>
      </c>
      <c r="H104" s="9" t="n">
        <v>250</v>
      </c>
      <c r="I104" s="8" t="s">
        <v>128</v>
      </c>
      <c r="J104" s="9"/>
      <c r="K104" s="10" t="str">
        <f aca="false">IF(AND(ISNUMBER(J104),E104&gt;0),J104/E104-1,"")</f>
        <v/>
      </c>
      <c r="L104" s="11"/>
      <c r="M104" s="12"/>
      <c r="N104" s="13" t="n">
        <f aca="false">IF(L104="Своя ціна",M104,IF(L104="Прийняти",IF(ISNUMBER(J104),J104,E104),E104))</f>
        <v>190</v>
      </c>
      <c r="O104" s="8"/>
      <c r="P104" s="14" t="s">
        <v>316</v>
      </c>
    </row>
    <row r="105" customFormat="false" ht="64.15" hidden="false" customHeight="false" outlineLevel="0" collapsed="false">
      <c r="A105" s="8" t="s">
        <v>10</v>
      </c>
      <c r="B105" s="8" t="s">
        <v>238</v>
      </c>
      <c r="C105" s="8" t="s">
        <v>317</v>
      </c>
      <c r="D105" s="8" t="s">
        <v>41</v>
      </c>
      <c r="E105" s="9" t="n">
        <v>450</v>
      </c>
      <c r="F105" s="9" t="n">
        <v>230</v>
      </c>
      <c r="G105" s="9" t="n">
        <v>390</v>
      </c>
      <c r="H105" s="9" t="n">
        <v>650</v>
      </c>
      <c r="I105" s="8" t="s">
        <v>128</v>
      </c>
      <c r="J105" s="9"/>
      <c r="K105" s="10" t="str">
        <f aca="false">IF(AND(ISNUMBER(J105),E105&gt;0),J105/E105-1,"")</f>
        <v/>
      </c>
      <c r="L105" s="11"/>
      <c r="M105" s="12"/>
      <c r="N105" s="13" t="n">
        <f aca="false">IF(L105="Своя ціна",M105,IF(L105="Прийняти",IF(ISNUMBER(J105),J105,E105),E105))</f>
        <v>450</v>
      </c>
      <c r="O105" s="8" t="s">
        <v>318</v>
      </c>
      <c r="P105" s="14" t="s">
        <v>319</v>
      </c>
    </row>
    <row r="106" customFormat="false" ht="53.7" hidden="false" customHeight="false" outlineLevel="0" collapsed="false">
      <c r="A106" s="8" t="s">
        <v>10</v>
      </c>
      <c r="B106" s="8" t="s">
        <v>238</v>
      </c>
      <c r="C106" s="8" t="s">
        <v>320</v>
      </c>
      <c r="D106" s="8" t="s">
        <v>41</v>
      </c>
      <c r="E106" s="9" t="n">
        <v>180</v>
      </c>
      <c r="F106" s="9" t="n">
        <v>130</v>
      </c>
      <c r="G106" s="9" t="n">
        <v>210</v>
      </c>
      <c r="H106" s="9" t="n">
        <v>280</v>
      </c>
      <c r="I106" s="8" t="s">
        <v>128</v>
      </c>
      <c r="J106" s="9"/>
      <c r="K106" s="10" t="str">
        <f aca="false">IF(AND(ISNUMBER(J106),E106&gt;0),J106/E106-1,"")</f>
        <v/>
      </c>
      <c r="L106" s="11"/>
      <c r="M106" s="12"/>
      <c r="N106" s="13" t="n">
        <f aca="false">IF(L106="Своя ціна",M106,IF(L106="Прийняти",IF(ISNUMBER(J106),J106,E106),E106))</f>
        <v>180</v>
      </c>
      <c r="O106" s="8" t="s">
        <v>321</v>
      </c>
      <c r="P106" s="14" t="s">
        <v>322</v>
      </c>
    </row>
    <row r="107" customFormat="false" ht="74.6" hidden="false" customHeight="false" outlineLevel="0" collapsed="false">
      <c r="A107" s="8" t="s">
        <v>10</v>
      </c>
      <c r="B107" s="8" t="s">
        <v>238</v>
      </c>
      <c r="C107" s="8" t="s">
        <v>323</v>
      </c>
      <c r="D107" s="8" t="s">
        <v>41</v>
      </c>
      <c r="E107" s="9" t="n">
        <v>220</v>
      </c>
      <c r="F107" s="9" t="n">
        <v>135</v>
      </c>
      <c r="G107" s="9" t="n">
        <v>205</v>
      </c>
      <c r="H107" s="9" t="n">
        <v>330</v>
      </c>
      <c r="I107" s="8" t="s">
        <v>128</v>
      </c>
      <c r="J107" s="9"/>
      <c r="K107" s="10" t="str">
        <f aca="false">IF(AND(ISNUMBER(J107),E107&gt;0),J107/E107-1,"")</f>
        <v/>
      </c>
      <c r="L107" s="11"/>
      <c r="M107" s="12"/>
      <c r="N107" s="13" t="n">
        <f aca="false">IF(L107="Своя ціна",M107,IF(L107="Прийняти",IF(ISNUMBER(J107),J107,E107),E107))</f>
        <v>220</v>
      </c>
      <c r="O107" s="8"/>
      <c r="P107" s="14" t="s">
        <v>324</v>
      </c>
    </row>
    <row r="108" customFormat="false" ht="105.95" hidden="false" customHeight="false" outlineLevel="0" collapsed="false">
      <c r="A108" s="8" t="s">
        <v>10</v>
      </c>
      <c r="B108" s="8" t="s">
        <v>238</v>
      </c>
      <c r="C108" s="8" t="s">
        <v>325</v>
      </c>
      <c r="D108" s="8" t="s">
        <v>41</v>
      </c>
      <c r="E108" s="9" t="n">
        <v>180</v>
      </c>
      <c r="F108" s="9" t="n">
        <v>120</v>
      </c>
      <c r="G108" s="9" t="n">
        <v>190</v>
      </c>
      <c r="H108" s="9" t="n">
        <v>300</v>
      </c>
      <c r="I108" s="8" t="s">
        <v>128</v>
      </c>
      <c r="J108" s="9"/>
      <c r="K108" s="10" t="str">
        <f aca="false">IF(AND(ISNUMBER(J108),E108&gt;0),J108/E108-1,"")</f>
        <v/>
      </c>
      <c r="L108" s="11"/>
      <c r="M108" s="12"/>
      <c r="N108" s="13" t="n">
        <f aca="false">IF(L108="Своя ціна",M108,IF(L108="Прийняти",IF(ISNUMBER(J108),J108,E108),E108))</f>
        <v>180</v>
      </c>
      <c r="O108" s="8"/>
      <c r="P108" s="14" t="s">
        <v>326</v>
      </c>
    </row>
    <row r="109" customFormat="false" ht="64.15" hidden="false" customHeight="false" outlineLevel="0" collapsed="false">
      <c r="A109" s="8" t="s">
        <v>10</v>
      </c>
      <c r="B109" s="8" t="s">
        <v>238</v>
      </c>
      <c r="C109" s="8" t="s">
        <v>327</v>
      </c>
      <c r="D109" s="8" t="s">
        <v>49</v>
      </c>
      <c r="E109" s="9" t="n">
        <v>180</v>
      </c>
      <c r="F109" s="9" t="n">
        <v>100</v>
      </c>
      <c r="G109" s="9" t="n">
        <v>176</v>
      </c>
      <c r="H109" s="9" t="n">
        <v>250</v>
      </c>
      <c r="I109" s="8" t="s">
        <v>128</v>
      </c>
      <c r="J109" s="9"/>
      <c r="K109" s="10" t="str">
        <f aca="false">IF(AND(ISNUMBER(J109),E109&gt;0),J109/E109-1,"")</f>
        <v/>
      </c>
      <c r="L109" s="11"/>
      <c r="M109" s="12"/>
      <c r="N109" s="13" t="n">
        <f aca="false">IF(L109="Своя ціна",M109,IF(L109="Прийняти",IF(ISNUMBER(J109),J109,E109),E109))</f>
        <v>180</v>
      </c>
      <c r="O109" s="8"/>
      <c r="P109" s="14" t="s">
        <v>328</v>
      </c>
    </row>
    <row r="110" customFormat="false" ht="53.7" hidden="false" customHeight="false" outlineLevel="0" collapsed="false">
      <c r="A110" s="8" t="s">
        <v>10</v>
      </c>
      <c r="B110" s="8" t="s">
        <v>238</v>
      </c>
      <c r="C110" s="8" t="s">
        <v>329</v>
      </c>
      <c r="D110" s="8" t="s">
        <v>41</v>
      </c>
      <c r="E110" s="9" t="n">
        <v>100</v>
      </c>
      <c r="F110" s="9" t="n">
        <v>70</v>
      </c>
      <c r="G110" s="9" t="n">
        <v>110</v>
      </c>
      <c r="H110" s="9" t="n">
        <v>180</v>
      </c>
      <c r="I110" s="8" t="s">
        <v>128</v>
      </c>
      <c r="J110" s="9"/>
      <c r="K110" s="10" t="str">
        <f aca="false">IF(AND(ISNUMBER(J110),E110&gt;0),J110/E110-1,"")</f>
        <v/>
      </c>
      <c r="L110" s="11"/>
      <c r="M110" s="12"/>
      <c r="N110" s="13" t="n">
        <f aca="false">IF(L110="Своя ціна",M110,IF(L110="Прийняти",IF(ISNUMBER(J110),J110,E110),E110))</f>
        <v>100</v>
      </c>
      <c r="O110" s="8" t="s">
        <v>313</v>
      </c>
      <c r="P110" s="14" t="s">
        <v>330</v>
      </c>
    </row>
    <row r="111" customFormat="false" ht="74.6" hidden="false" customHeight="false" outlineLevel="0" collapsed="false">
      <c r="A111" s="8" t="s">
        <v>10</v>
      </c>
      <c r="B111" s="8" t="s">
        <v>238</v>
      </c>
      <c r="C111" s="8" t="s">
        <v>331</v>
      </c>
      <c r="D111" s="8" t="s">
        <v>41</v>
      </c>
      <c r="E111" s="9" t="n">
        <v>240</v>
      </c>
      <c r="F111" s="9" t="n">
        <v>170</v>
      </c>
      <c r="G111" s="9" t="n">
        <v>280</v>
      </c>
      <c r="H111" s="9" t="n">
        <v>400</v>
      </c>
      <c r="I111" s="8" t="s">
        <v>128</v>
      </c>
      <c r="J111" s="9"/>
      <c r="K111" s="10" t="str">
        <f aca="false">IF(AND(ISNUMBER(J111),E111&gt;0),J111/E111-1,"")</f>
        <v/>
      </c>
      <c r="L111" s="11"/>
      <c r="M111" s="12"/>
      <c r="N111" s="13" t="n">
        <f aca="false">IF(L111="Своя ціна",M111,IF(L111="Прийняти",IF(ISNUMBER(J111),J111,E111),E111))</f>
        <v>240</v>
      </c>
      <c r="O111" s="8" t="s">
        <v>313</v>
      </c>
      <c r="P111" s="14" t="s">
        <v>332</v>
      </c>
    </row>
    <row r="112" customFormat="false" ht="74.6" hidden="false" customHeight="false" outlineLevel="0" collapsed="false">
      <c r="A112" s="8" t="s">
        <v>10</v>
      </c>
      <c r="B112" s="8" t="s">
        <v>238</v>
      </c>
      <c r="C112" s="8" t="s">
        <v>333</v>
      </c>
      <c r="D112" s="8" t="s">
        <v>49</v>
      </c>
      <c r="E112" s="9" t="n">
        <v>400</v>
      </c>
      <c r="F112" s="9" t="n">
        <v>250</v>
      </c>
      <c r="G112" s="9" t="n">
        <v>390</v>
      </c>
      <c r="H112" s="9" t="n">
        <v>600</v>
      </c>
      <c r="I112" s="8" t="s">
        <v>128</v>
      </c>
      <c r="J112" s="9"/>
      <c r="K112" s="10" t="str">
        <f aca="false">IF(AND(ISNUMBER(J112),E112&gt;0),J112/E112-1,"")</f>
        <v/>
      </c>
      <c r="L112" s="11"/>
      <c r="M112" s="12"/>
      <c r="N112" s="13" t="n">
        <f aca="false">IF(L112="Своя ціна",M112,IF(L112="Прийняти",IF(ISNUMBER(J112),J112,E112),E112))</f>
        <v>400</v>
      </c>
      <c r="O112" s="8"/>
      <c r="P112" s="14" t="s">
        <v>334</v>
      </c>
    </row>
    <row r="113" customFormat="false" ht="85.05" hidden="false" customHeight="false" outlineLevel="0" collapsed="false">
      <c r="A113" s="8" t="s">
        <v>10</v>
      </c>
      <c r="B113" s="8" t="s">
        <v>238</v>
      </c>
      <c r="C113" s="8" t="s">
        <v>335</v>
      </c>
      <c r="D113" s="8" t="s">
        <v>41</v>
      </c>
      <c r="E113" s="9" t="n">
        <v>420</v>
      </c>
      <c r="F113" s="9" t="n">
        <v>300</v>
      </c>
      <c r="G113" s="9" t="n">
        <v>450</v>
      </c>
      <c r="H113" s="9" t="n">
        <v>700</v>
      </c>
      <c r="I113" s="8" t="s">
        <v>128</v>
      </c>
      <c r="J113" s="9"/>
      <c r="K113" s="10" t="str">
        <f aca="false">IF(AND(ISNUMBER(J113),E113&gt;0),J113/E113-1,"")</f>
        <v/>
      </c>
      <c r="L113" s="11"/>
      <c r="M113" s="12"/>
      <c r="N113" s="13" t="n">
        <f aca="false">IF(L113="Своя ціна",M113,IF(L113="Прийняти",IF(ISNUMBER(J113),J113,E113),E113))</f>
        <v>420</v>
      </c>
      <c r="O113" s="8"/>
      <c r="P113" s="14" t="s">
        <v>336</v>
      </c>
    </row>
    <row r="114" customFormat="false" ht="74.6" hidden="false" customHeight="false" outlineLevel="0" collapsed="false">
      <c r="A114" s="8" t="s">
        <v>10</v>
      </c>
      <c r="B114" s="8" t="s">
        <v>238</v>
      </c>
      <c r="C114" s="8" t="s">
        <v>337</v>
      </c>
      <c r="D114" s="8" t="s">
        <v>41</v>
      </c>
      <c r="E114" s="9" t="n">
        <v>330</v>
      </c>
      <c r="F114" s="9" t="n">
        <v>210</v>
      </c>
      <c r="G114" s="9" t="n">
        <v>260</v>
      </c>
      <c r="H114" s="9" t="n">
        <v>600</v>
      </c>
      <c r="I114" s="8" t="s">
        <v>128</v>
      </c>
      <c r="J114" s="9"/>
      <c r="K114" s="10" t="str">
        <f aca="false">IF(AND(ISNUMBER(J114),E114&gt;0),J114/E114-1,"")</f>
        <v/>
      </c>
      <c r="L114" s="11"/>
      <c r="M114" s="12"/>
      <c r="N114" s="13" t="n">
        <f aca="false">IF(L114="Своя ціна",M114,IF(L114="Прийняти",IF(ISNUMBER(J114),J114,E114),E114))</f>
        <v>330</v>
      </c>
      <c r="O114" s="8" t="s">
        <v>338</v>
      </c>
      <c r="P114" s="14" t="s">
        <v>339</v>
      </c>
    </row>
    <row r="115" customFormat="false" ht="95.5" hidden="false" customHeight="false" outlineLevel="0" collapsed="false">
      <c r="A115" s="8" t="s">
        <v>10</v>
      </c>
      <c r="B115" s="8" t="s">
        <v>238</v>
      </c>
      <c r="C115" s="8" t="s">
        <v>340</v>
      </c>
      <c r="D115" s="8" t="s">
        <v>41</v>
      </c>
      <c r="E115" s="9" t="n">
        <v>380</v>
      </c>
      <c r="F115" s="9" t="n">
        <v>275</v>
      </c>
      <c r="G115" s="9" t="n">
        <v>400</v>
      </c>
      <c r="H115" s="9" t="n">
        <v>700</v>
      </c>
      <c r="I115" s="8" t="s">
        <v>128</v>
      </c>
      <c r="J115" s="9"/>
      <c r="K115" s="10" t="str">
        <f aca="false">IF(AND(ISNUMBER(J115),E115&gt;0),J115/E115-1,"")</f>
        <v/>
      </c>
      <c r="L115" s="11"/>
      <c r="M115" s="12"/>
      <c r="N115" s="13" t="n">
        <f aca="false">IF(L115="Своя ціна",M115,IF(L115="Прийняти",IF(ISNUMBER(J115),J115,E115),E115))</f>
        <v>380</v>
      </c>
      <c r="O115" s="8"/>
      <c r="P115" s="14" t="s">
        <v>341</v>
      </c>
    </row>
    <row r="116" customFormat="false" ht="64.15" hidden="false" customHeight="false" outlineLevel="0" collapsed="false">
      <c r="A116" s="8" t="s">
        <v>10</v>
      </c>
      <c r="B116" s="8" t="s">
        <v>238</v>
      </c>
      <c r="C116" s="8" t="s">
        <v>342</v>
      </c>
      <c r="D116" s="8" t="s">
        <v>41</v>
      </c>
      <c r="E116" s="9" t="n">
        <v>380</v>
      </c>
      <c r="F116" s="9" t="n">
        <v>240</v>
      </c>
      <c r="G116" s="9" t="n">
        <v>420</v>
      </c>
      <c r="H116" s="9" t="n">
        <v>650</v>
      </c>
      <c r="I116" s="8" t="s">
        <v>128</v>
      </c>
      <c r="J116" s="9"/>
      <c r="K116" s="10" t="str">
        <f aca="false">IF(AND(ISNUMBER(J116),E116&gt;0),J116/E116-1,"")</f>
        <v/>
      </c>
      <c r="L116" s="11"/>
      <c r="M116" s="12"/>
      <c r="N116" s="13" t="n">
        <f aca="false">IF(L116="Своя ціна",M116,IF(L116="Прийняти",IF(ISNUMBER(J116),J116,E116),E116))</f>
        <v>380</v>
      </c>
      <c r="O116" s="8" t="s">
        <v>343</v>
      </c>
      <c r="P116" s="14" t="s">
        <v>344</v>
      </c>
    </row>
    <row r="117" customFormat="false" ht="126.85" hidden="false" customHeight="false" outlineLevel="0" collapsed="false">
      <c r="A117" s="8" t="s">
        <v>10</v>
      </c>
      <c r="B117" s="8" t="s">
        <v>238</v>
      </c>
      <c r="C117" s="8" t="s">
        <v>345</v>
      </c>
      <c r="D117" s="8" t="s">
        <v>41</v>
      </c>
      <c r="E117" s="9" t="n">
        <v>330</v>
      </c>
      <c r="F117" s="9" t="n">
        <v>250</v>
      </c>
      <c r="G117" s="9" t="n">
        <v>370</v>
      </c>
      <c r="H117" s="9" t="n">
        <v>560</v>
      </c>
      <c r="I117" s="8" t="s">
        <v>128</v>
      </c>
      <c r="J117" s="9"/>
      <c r="K117" s="10" t="str">
        <f aca="false">IF(AND(ISNUMBER(J117),E117&gt;0),J117/E117-1,"")</f>
        <v/>
      </c>
      <c r="L117" s="11"/>
      <c r="M117" s="12"/>
      <c r="N117" s="13" t="n">
        <f aca="false">IF(L117="Своя ціна",M117,IF(L117="Прийняти",IF(ISNUMBER(J117),J117,E117),E117))</f>
        <v>330</v>
      </c>
      <c r="O117" s="8" t="s">
        <v>346</v>
      </c>
      <c r="P117" s="14" t="s">
        <v>347</v>
      </c>
    </row>
    <row r="118" customFormat="false" ht="53.7" hidden="false" customHeight="false" outlineLevel="0" collapsed="false">
      <c r="A118" s="8" t="s">
        <v>10</v>
      </c>
      <c r="B118" s="8" t="s">
        <v>238</v>
      </c>
      <c r="C118" s="8" t="s">
        <v>348</v>
      </c>
      <c r="D118" s="8" t="s">
        <v>41</v>
      </c>
      <c r="E118" s="9" t="n">
        <v>450</v>
      </c>
      <c r="F118" s="9" t="n">
        <v>400</v>
      </c>
      <c r="G118" s="9" t="n">
        <v>450</v>
      </c>
      <c r="H118" s="9" t="n">
        <v>650</v>
      </c>
      <c r="I118" s="8" t="s">
        <v>128</v>
      </c>
      <c r="J118" s="9"/>
      <c r="K118" s="10" t="str">
        <f aca="false">IF(AND(ISNUMBER(J118),E118&gt;0),J118/E118-1,"")</f>
        <v/>
      </c>
      <c r="L118" s="11"/>
      <c r="M118" s="12"/>
      <c r="N118" s="13" t="n">
        <f aca="false">IF(L118="Своя ціна",M118,IF(L118="Прийняти",IF(ISNUMBER(J118),J118,E118),E118))</f>
        <v>450</v>
      </c>
      <c r="O118" s="8" t="s">
        <v>349</v>
      </c>
      <c r="P118" s="14" t="s">
        <v>350</v>
      </c>
    </row>
    <row r="119" customFormat="false" ht="74.6" hidden="false" customHeight="false" outlineLevel="0" collapsed="false">
      <c r="A119" s="8" t="s">
        <v>10</v>
      </c>
      <c r="B119" s="8" t="s">
        <v>238</v>
      </c>
      <c r="C119" s="8" t="s">
        <v>351</v>
      </c>
      <c r="D119" s="8" t="s">
        <v>49</v>
      </c>
      <c r="E119" s="9" t="n">
        <v>350</v>
      </c>
      <c r="F119" s="9" t="n">
        <v>230</v>
      </c>
      <c r="G119" s="9" t="n">
        <v>360</v>
      </c>
      <c r="H119" s="9" t="n">
        <v>550</v>
      </c>
      <c r="I119" s="8" t="s">
        <v>128</v>
      </c>
      <c r="J119" s="9"/>
      <c r="K119" s="10" t="str">
        <f aca="false">IF(AND(ISNUMBER(J119),E119&gt;0),J119/E119-1,"")</f>
        <v/>
      </c>
      <c r="L119" s="11"/>
      <c r="M119" s="12"/>
      <c r="N119" s="13" t="n">
        <f aca="false">IF(L119="Своя ціна",M119,IF(L119="Прийняти",IF(ISNUMBER(J119),J119,E119),E119))</f>
        <v>350</v>
      </c>
      <c r="O119" s="8"/>
      <c r="P119" s="14" t="s">
        <v>352</v>
      </c>
    </row>
    <row r="120" customFormat="false" ht="85.05" hidden="false" customHeight="false" outlineLevel="0" collapsed="false">
      <c r="A120" s="8" t="s">
        <v>11</v>
      </c>
      <c r="B120" s="8" t="s">
        <v>11</v>
      </c>
      <c r="C120" s="8" t="s">
        <v>353</v>
      </c>
      <c r="D120" s="8" t="s">
        <v>354</v>
      </c>
      <c r="E120" s="9" t="n">
        <v>8000</v>
      </c>
      <c r="F120" s="9" t="n">
        <v>6300</v>
      </c>
      <c r="G120" s="9" t="n">
        <v>11000</v>
      </c>
      <c r="H120" s="9" t="n">
        <v>16570</v>
      </c>
      <c r="I120" s="8" t="s">
        <v>42</v>
      </c>
      <c r="J120" s="9" t="n">
        <v>10000</v>
      </c>
      <c r="K120" s="10" t="n">
        <f aca="false">IF(AND(ISNUMBER(J120),E120&gt;0),J120/E120-1,"")</f>
        <v>0.25</v>
      </c>
      <c r="L120" s="11"/>
      <c r="M120" s="12"/>
      <c r="N120" s="13" t="n">
        <f aca="false">IF(L120="Своя ціна",M120,IF(L120="Прийняти",IF(ISNUMBER(J120),J120,E120),E120))</f>
        <v>8000</v>
      </c>
      <c r="O120" s="8" t="s">
        <v>355</v>
      </c>
      <c r="P120" s="14" t="s">
        <v>356</v>
      </c>
    </row>
    <row r="121" customFormat="false" ht="95.5" hidden="false" customHeight="false" outlineLevel="0" collapsed="false">
      <c r="A121" s="8" t="s">
        <v>11</v>
      </c>
      <c r="B121" s="8" t="s">
        <v>11</v>
      </c>
      <c r="C121" s="8" t="s">
        <v>357</v>
      </c>
      <c r="D121" s="8" t="s">
        <v>61</v>
      </c>
      <c r="E121" s="9" t="n">
        <v>800</v>
      </c>
      <c r="F121" s="9" t="n">
        <v>600</v>
      </c>
      <c r="G121" s="9" t="n">
        <v>1000</v>
      </c>
      <c r="H121" s="9" t="n">
        <v>2000</v>
      </c>
      <c r="I121" s="8" t="s">
        <v>42</v>
      </c>
      <c r="J121" s="9" t="n">
        <v>1000</v>
      </c>
      <c r="K121" s="10" t="n">
        <f aca="false">IF(AND(ISNUMBER(J121),E121&gt;0),J121/E121-1,"")</f>
        <v>0.25</v>
      </c>
      <c r="L121" s="11"/>
      <c r="M121" s="12"/>
      <c r="N121" s="13" t="n">
        <f aca="false">IF(L121="Своя ціна",M121,IF(L121="Прийняти",IF(ISNUMBER(J121),J121,E121),E121))</f>
        <v>800</v>
      </c>
      <c r="O121" s="8" t="s">
        <v>358</v>
      </c>
      <c r="P121" s="14" t="s">
        <v>359</v>
      </c>
    </row>
    <row r="122" customFormat="false" ht="43.25" hidden="false" customHeight="false" outlineLevel="0" collapsed="false">
      <c r="A122" s="8" t="s">
        <v>11</v>
      </c>
      <c r="B122" s="8" t="s">
        <v>11</v>
      </c>
      <c r="C122" s="8" t="s">
        <v>360</v>
      </c>
      <c r="D122" s="8" t="s">
        <v>49</v>
      </c>
      <c r="E122" s="9" t="n">
        <v>147</v>
      </c>
      <c r="F122" s="9" t="n">
        <v>500</v>
      </c>
      <c r="G122" s="9" t="n">
        <v>525</v>
      </c>
      <c r="H122" s="9" t="n">
        <v>550</v>
      </c>
      <c r="I122" s="8" t="s">
        <v>42</v>
      </c>
      <c r="J122" s="9" t="n">
        <v>450</v>
      </c>
      <c r="K122" s="10" t="n">
        <f aca="false">IF(AND(ISNUMBER(J122),E122&gt;0),J122/E122-1,"")</f>
        <v>2.06122448979592</v>
      </c>
      <c r="L122" s="11"/>
      <c r="M122" s="12"/>
      <c r="N122" s="13" t="n">
        <f aca="false">IF(L122="Своя ціна",M122,IF(L122="Прийняти",IF(ISNUMBER(J122),J122,E122),E122))</f>
        <v>147</v>
      </c>
      <c r="O122" s="8" t="s">
        <v>361</v>
      </c>
      <c r="P122" s="14" t="s">
        <v>362</v>
      </c>
    </row>
    <row r="123" customFormat="false" ht="46.25" hidden="false" customHeight="false" outlineLevel="0" collapsed="false">
      <c r="A123" s="8" t="s">
        <v>11</v>
      </c>
      <c r="B123" s="8" t="s">
        <v>11</v>
      </c>
      <c r="C123" s="8" t="s">
        <v>363</v>
      </c>
      <c r="D123" s="8" t="s">
        <v>61</v>
      </c>
      <c r="E123" s="9" t="n">
        <v>650</v>
      </c>
      <c r="F123" s="9" t="n">
        <v>1000</v>
      </c>
      <c r="G123" s="9" t="n">
        <v>1200</v>
      </c>
      <c r="H123" s="9" t="n">
        <v>1320</v>
      </c>
      <c r="I123" s="8" t="s">
        <v>42</v>
      </c>
      <c r="J123" s="9" t="n">
        <v>1000</v>
      </c>
      <c r="K123" s="10" t="n">
        <f aca="false">IF(AND(ISNUMBER(J123),E123&gt;0),J123/E123-1,"")</f>
        <v>0.538461538461539</v>
      </c>
      <c r="L123" s="11"/>
      <c r="M123" s="12"/>
      <c r="N123" s="13" t="n">
        <f aca="false">IF(L123="Своя ціна",M123,IF(L123="Прийняти",IF(ISNUMBER(J123),J123,E123),E123))</f>
        <v>650</v>
      </c>
      <c r="O123" s="8" t="s">
        <v>364</v>
      </c>
      <c r="P123" s="14" t="s">
        <v>365</v>
      </c>
    </row>
    <row r="124" customFormat="false" ht="64.15" hidden="false" customHeight="false" outlineLevel="0" collapsed="false">
      <c r="A124" s="8" t="s">
        <v>11</v>
      </c>
      <c r="B124" s="8" t="s">
        <v>11</v>
      </c>
      <c r="C124" s="8" t="s">
        <v>366</v>
      </c>
      <c r="D124" s="8" t="s">
        <v>61</v>
      </c>
      <c r="E124" s="9" t="n">
        <v>500</v>
      </c>
      <c r="F124" s="9" t="n">
        <v>500</v>
      </c>
      <c r="G124" s="9" t="n">
        <v>720</v>
      </c>
      <c r="H124" s="9" t="n">
        <v>1200</v>
      </c>
      <c r="I124" s="8" t="s">
        <v>42</v>
      </c>
      <c r="J124" s="9" t="n">
        <v>700</v>
      </c>
      <c r="K124" s="10" t="n">
        <f aca="false">IF(AND(ISNUMBER(J124),E124&gt;0),J124/E124-1,"")</f>
        <v>0.4</v>
      </c>
      <c r="L124" s="11"/>
      <c r="M124" s="12"/>
      <c r="N124" s="13" t="n">
        <f aca="false">IF(L124="Своя ціна",M124,IF(L124="Прийняти",IF(ISNUMBER(J124),J124,E124),E124))</f>
        <v>500</v>
      </c>
      <c r="O124" s="8" t="s">
        <v>367</v>
      </c>
      <c r="P124" s="14" t="s">
        <v>368</v>
      </c>
    </row>
    <row r="125" customFormat="false" ht="74.6" hidden="false" customHeight="false" outlineLevel="0" collapsed="false">
      <c r="A125" s="8" t="s">
        <v>11</v>
      </c>
      <c r="B125" s="8" t="s">
        <v>11</v>
      </c>
      <c r="C125" s="8" t="s">
        <v>369</v>
      </c>
      <c r="D125" s="8" t="s">
        <v>61</v>
      </c>
      <c r="E125" s="9" t="n">
        <v>90</v>
      </c>
      <c r="F125" s="9" t="n">
        <v>120</v>
      </c>
      <c r="G125" s="9" t="n">
        <v>210</v>
      </c>
      <c r="H125" s="9" t="n">
        <v>250</v>
      </c>
      <c r="I125" s="8" t="s">
        <v>42</v>
      </c>
      <c r="J125" s="9" t="n">
        <v>150</v>
      </c>
      <c r="K125" s="10" t="n">
        <f aca="false">IF(AND(ISNUMBER(J125),E125&gt;0),J125/E125-1,"")</f>
        <v>0.666666666666667</v>
      </c>
      <c r="L125" s="11"/>
      <c r="M125" s="12"/>
      <c r="N125" s="13" t="n">
        <f aca="false">IF(L125="Своя ціна",M125,IF(L125="Прийняти",IF(ISNUMBER(J125),J125,E125),E125))</f>
        <v>90</v>
      </c>
      <c r="O125" s="8" t="s">
        <v>370</v>
      </c>
      <c r="P125" s="14" t="s">
        <v>371</v>
      </c>
    </row>
    <row r="126" customFormat="false" ht="85.05" hidden="false" customHeight="false" outlineLevel="0" collapsed="false">
      <c r="A126" s="8" t="s">
        <v>11</v>
      </c>
      <c r="B126" s="8" t="s">
        <v>11</v>
      </c>
      <c r="C126" s="8" t="s">
        <v>372</v>
      </c>
      <c r="D126" s="8" t="s">
        <v>61</v>
      </c>
      <c r="E126" s="9" t="n">
        <v>150</v>
      </c>
      <c r="F126" s="9" t="n">
        <v>150</v>
      </c>
      <c r="G126" s="9" t="n">
        <v>300</v>
      </c>
      <c r="H126" s="9" t="n">
        <v>700</v>
      </c>
      <c r="I126" s="8" t="s">
        <v>42</v>
      </c>
      <c r="J126" s="9" t="n">
        <v>250</v>
      </c>
      <c r="K126" s="10" t="n">
        <f aca="false">IF(AND(ISNUMBER(J126),E126&gt;0),J126/E126-1,"")</f>
        <v>0.666666666666667</v>
      </c>
      <c r="L126" s="11"/>
      <c r="M126" s="12"/>
      <c r="N126" s="13" t="n">
        <f aca="false">IF(L126="Своя ціна",M126,IF(L126="Прийняти",IF(ISNUMBER(J126),J126,E126),E126))</f>
        <v>150</v>
      </c>
      <c r="O126" s="8" t="s">
        <v>373</v>
      </c>
      <c r="P126" s="14" t="s">
        <v>374</v>
      </c>
    </row>
    <row r="127" customFormat="false" ht="43.25" hidden="false" customHeight="false" outlineLevel="0" collapsed="false">
      <c r="A127" s="8" t="s">
        <v>11</v>
      </c>
      <c r="B127" s="8" t="s">
        <v>11</v>
      </c>
      <c r="C127" s="8" t="s">
        <v>375</v>
      </c>
      <c r="D127" s="8" t="s">
        <v>61</v>
      </c>
      <c r="E127" s="9" t="n">
        <v>120</v>
      </c>
      <c r="F127" s="9" t="n">
        <v>110</v>
      </c>
      <c r="G127" s="9" t="n">
        <v>180</v>
      </c>
      <c r="H127" s="9" t="n">
        <v>250</v>
      </c>
      <c r="I127" s="8" t="s">
        <v>42</v>
      </c>
      <c r="J127" s="9" t="n">
        <v>180</v>
      </c>
      <c r="K127" s="10" t="n">
        <f aca="false">IF(AND(ISNUMBER(J127),E127&gt;0),J127/E127-1,"")</f>
        <v>0.5</v>
      </c>
      <c r="L127" s="11"/>
      <c r="M127" s="12"/>
      <c r="N127" s="13" t="n">
        <f aca="false">IF(L127="Своя ціна",M127,IF(L127="Прийняти",IF(ISNUMBER(J127),J127,E127),E127))</f>
        <v>120</v>
      </c>
      <c r="O127" s="8" t="s">
        <v>376</v>
      </c>
      <c r="P127" s="14" t="s">
        <v>377</v>
      </c>
    </row>
    <row r="128" customFormat="false" ht="74.6" hidden="false" customHeight="false" outlineLevel="0" collapsed="false">
      <c r="A128" s="8" t="s">
        <v>11</v>
      </c>
      <c r="B128" s="8" t="s">
        <v>11</v>
      </c>
      <c r="C128" s="8" t="s">
        <v>378</v>
      </c>
      <c r="D128" s="8" t="s">
        <v>61</v>
      </c>
      <c r="E128" s="9" t="n">
        <v>240</v>
      </c>
      <c r="F128" s="9" t="n">
        <v>200</v>
      </c>
      <c r="G128" s="9" t="n">
        <v>380</v>
      </c>
      <c r="H128" s="9" t="n">
        <v>550</v>
      </c>
      <c r="I128" s="8" t="s">
        <v>42</v>
      </c>
      <c r="J128" s="9" t="n">
        <v>350</v>
      </c>
      <c r="K128" s="10" t="n">
        <f aca="false">IF(AND(ISNUMBER(J128),E128&gt;0),J128/E128-1,"")</f>
        <v>0.458333333333333</v>
      </c>
      <c r="L128" s="11"/>
      <c r="M128" s="12"/>
      <c r="N128" s="13" t="n">
        <f aca="false">IF(L128="Своя ціна",M128,IF(L128="Прийняти",IF(ISNUMBER(J128),J128,E128),E128))</f>
        <v>240</v>
      </c>
      <c r="O128" s="8" t="s">
        <v>379</v>
      </c>
      <c r="P128" s="14" t="s">
        <v>380</v>
      </c>
    </row>
    <row r="129" customFormat="false" ht="116.4" hidden="false" customHeight="false" outlineLevel="0" collapsed="false">
      <c r="A129" s="8" t="s">
        <v>11</v>
      </c>
      <c r="B129" s="8" t="s">
        <v>11</v>
      </c>
      <c r="C129" s="8" t="s">
        <v>381</v>
      </c>
      <c r="D129" s="8" t="s">
        <v>61</v>
      </c>
      <c r="E129" s="9" t="n">
        <v>1000</v>
      </c>
      <c r="F129" s="9" t="n">
        <v>900</v>
      </c>
      <c r="G129" s="9" t="n">
        <v>1400</v>
      </c>
      <c r="H129" s="9" t="n">
        <v>5500</v>
      </c>
      <c r="I129" s="8" t="s">
        <v>42</v>
      </c>
      <c r="J129" s="9" t="n">
        <v>1400</v>
      </c>
      <c r="K129" s="10" t="n">
        <f aca="false">IF(AND(ISNUMBER(J129),E129&gt;0),J129/E129-1,"")</f>
        <v>0.4</v>
      </c>
      <c r="L129" s="11"/>
      <c r="M129" s="12"/>
      <c r="N129" s="13" t="n">
        <f aca="false">IF(L129="Своя ціна",M129,IF(L129="Прийняти",IF(ISNUMBER(J129),J129,E129),E129))</f>
        <v>1000</v>
      </c>
      <c r="O129" s="8" t="s">
        <v>382</v>
      </c>
      <c r="P129" s="14" t="s">
        <v>383</v>
      </c>
    </row>
    <row r="130" customFormat="false" ht="137.3" hidden="false" customHeight="false" outlineLevel="0" collapsed="false">
      <c r="A130" s="8" t="s">
        <v>11</v>
      </c>
      <c r="B130" s="8" t="s">
        <v>11</v>
      </c>
      <c r="C130" s="8" t="s">
        <v>384</v>
      </c>
      <c r="D130" s="8" t="s">
        <v>61</v>
      </c>
      <c r="E130" s="9" t="n">
        <v>600</v>
      </c>
      <c r="F130" s="9" t="n">
        <v>400</v>
      </c>
      <c r="G130" s="9" t="n">
        <v>700</v>
      </c>
      <c r="H130" s="9" t="n">
        <v>1200</v>
      </c>
      <c r="I130" s="8" t="s">
        <v>42</v>
      </c>
      <c r="J130" s="9" t="n">
        <v>700</v>
      </c>
      <c r="K130" s="10" t="n">
        <f aca="false">IF(AND(ISNUMBER(J130),E130&gt;0),J130/E130-1,"")</f>
        <v>0.166666666666667</v>
      </c>
      <c r="L130" s="11"/>
      <c r="M130" s="12"/>
      <c r="N130" s="13" t="n">
        <f aca="false">IF(L130="Своя ціна",M130,IF(L130="Прийняти",IF(ISNUMBER(J130),J130,E130),E130))</f>
        <v>600</v>
      </c>
      <c r="O130" s="8" t="s">
        <v>385</v>
      </c>
      <c r="P130" s="14" t="s">
        <v>386</v>
      </c>
    </row>
    <row r="131" customFormat="false" ht="85.05" hidden="false" customHeight="false" outlineLevel="0" collapsed="false">
      <c r="A131" s="8" t="s">
        <v>11</v>
      </c>
      <c r="B131" s="8" t="s">
        <v>11</v>
      </c>
      <c r="C131" s="8" t="s">
        <v>387</v>
      </c>
      <c r="D131" s="8" t="s">
        <v>61</v>
      </c>
      <c r="E131" s="9" t="n">
        <v>1200</v>
      </c>
      <c r="F131" s="9" t="n">
        <v>650</v>
      </c>
      <c r="G131" s="9" t="n">
        <v>1600</v>
      </c>
      <c r="H131" s="9" t="n">
        <v>2200</v>
      </c>
      <c r="I131" s="8" t="s">
        <v>42</v>
      </c>
      <c r="J131" s="9" t="n">
        <v>1500</v>
      </c>
      <c r="K131" s="10" t="n">
        <f aca="false">IF(AND(ISNUMBER(J131),E131&gt;0),J131/E131-1,"")</f>
        <v>0.25</v>
      </c>
      <c r="L131" s="11"/>
      <c r="M131" s="12"/>
      <c r="N131" s="13" t="n">
        <f aca="false">IF(L131="Своя ціна",M131,IF(L131="Прийняти",IF(ISNUMBER(J131),J131,E131),E131))</f>
        <v>1200</v>
      </c>
      <c r="O131" s="8" t="s">
        <v>388</v>
      </c>
      <c r="P131" s="14" t="s">
        <v>389</v>
      </c>
    </row>
    <row r="132" customFormat="false" ht="53.7" hidden="false" customHeight="false" outlineLevel="0" collapsed="false">
      <c r="A132" s="8" t="s">
        <v>11</v>
      </c>
      <c r="B132" s="8" t="s">
        <v>11</v>
      </c>
      <c r="C132" s="8" t="s">
        <v>390</v>
      </c>
      <c r="D132" s="8" t="s">
        <v>49</v>
      </c>
      <c r="E132" s="9" t="n">
        <v>50</v>
      </c>
      <c r="F132" s="9" t="n">
        <v>105</v>
      </c>
      <c r="G132" s="9" t="n">
        <v>120</v>
      </c>
      <c r="H132" s="9" t="n">
        <v>150</v>
      </c>
      <c r="I132" s="8" t="s">
        <v>42</v>
      </c>
      <c r="J132" s="9" t="n">
        <v>100</v>
      </c>
      <c r="K132" s="10" t="n">
        <f aca="false">IF(AND(ISNUMBER(J132),E132&gt;0),J132/E132-1,"")</f>
        <v>1</v>
      </c>
      <c r="L132" s="11"/>
      <c r="M132" s="12"/>
      <c r="N132" s="13" t="n">
        <f aca="false">IF(L132="Своя ціна",M132,IF(L132="Прийняти",IF(ISNUMBER(J132),J132,E132),E132))</f>
        <v>50</v>
      </c>
      <c r="O132" s="8" t="s">
        <v>391</v>
      </c>
      <c r="P132" s="14" t="s">
        <v>392</v>
      </c>
    </row>
    <row r="133" customFormat="false" ht="74.6" hidden="false" customHeight="false" outlineLevel="0" collapsed="false">
      <c r="A133" s="8" t="s">
        <v>11</v>
      </c>
      <c r="B133" s="8" t="s">
        <v>11</v>
      </c>
      <c r="C133" s="8" t="s">
        <v>393</v>
      </c>
      <c r="D133" s="8" t="s">
        <v>49</v>
      </c>
      <c r="E133" s="9" t="n">
        <v>88</v>
      </c>
      <c r="F133" s="9" t="n">
        <v>40</v>
      </c>
      <c r="G133" s="9" t="n">
        <v>65</v>
      </c>
      <c r="H133" s="9" t="n">
        <v>80</v>
      </c>
      <c r="I133" s="8" t="s">
        <v>105</v>
      </c>
      <c r="J133" s="9" t="n">
        <v>65</v>
      </c>
      <c r="K133" s="10" t="n">
        <f aca="false">IF(AND(ISNUMBER(J133),E133&gt;0),J133/E133-1,"")</f>
        <v>-0.261363636363636</v>
      </c>
      <c r="L133" s="11"/>
      <c r="M133" s="12"/>
      <c r="N133" s="13" t="n">
        <f aca="false">IF(L133="Своя ціна",M133,IF(L133="Прийняти",IF(ISNUMBER(J133),J133,E133),E133))</f>
        <v>88</v>
      </c>
      <c r="O133" s="8" t="s">
        <v>394</v>
      </c>
      <c r="P133" s="14" t="s">
        <v>395</v>
      </c>
    </row>
    <row r="134" customFormat="false" ht="116.4" hidden="false" customHeight="false" outlineLevel="0" collapsed="false">
      <c r="A134" s="8" t="s">
        <v>11</v>
      </c>
      <c r="B134" s="8" t="s">
        <v>11</v>
      </c>
      <c r="C134" s="8" t="s">
        <v>396</v>
      </c>
      <c r="D134" s="8" t="s">
        <v>49</v>
      </c>
      <c r="E134" s="9" t="n">
        <v>400</v>
      </c>
      <c r="F134" s="9" t="n">
        <v>40</v>
      </c>
      <c r="G134" s="9" t="n">
        <v>70</v>
      </c>
      <c r="H134" s="9" t="n">
        <v>500</v>
      </c>
      <c r="I134" s="8" t="s">
        <v>105</v>
      </c>
      <c r="J134" s="9" t="n">
        <v>100</v>
      </c>
      <c r="K134" s="10" t="n">
        <f aca="false">IF(AND(ISNUMBER(J134),E134&gt;0),J134/E134-1,"")</f>
        <v>-0.75</v>
      </c>
      <c r="L134" s="11"/>
      <c r="M134" s="12"/>
      <c r="N134" s="13" t="n">
        <f aca="false">IF(L134="Своя ціна",M134,IF(L134="Прийняти",IF(ISNUMBER(J134),J134,E134),E134))</f>
        <v>400</v>
      </c>
      <c r="O134" s="8" t="s">
        <v>397</v>
      </c>
      <c r="P134" s="14" t="s">
        <v>398</v>
      </c>
    </row>
    <row r="135" customFormat="false" ht="158.2" hidden="false" customHeight="false" outlineLevel="0" collapsed="false">
      <c r="A135" s="8" t="s">
        <v>11</v>
      </c>
      <c r="B135" s="8" t="s">
        <v>11</v>
      </c>
      <c r="C135" s="8" t="s">
        <v>399</v>
      </c>
      <c r="D135" s="8" t="s">
        <v>49</v>
      </c>
      <c r="E135" s="9" t="n">
        <v>350</v>
      </c>
      <c r="F135" s="9" t="n">
        <v>150</v>
      </c>
      <c r="G135" s="9" t="n">
        <v>255</v>
      </c>
      <c r="H135" s="9" t="n">
        <v>600</v>
      </c>
      <c r="I135" s="8" t="s">
        <v>105</v>
      </c>
      <c r="J135" s="9" t="n">
        <v>300</v>
      </c>
      <c r="K135" s="10" t="n">
        <f aca="false">IF(AND(ISNUMBER(J135),E135&gt;0),J135/E135-1,"")</f>
        <v>-0.142857142857143</v>
      </c>
      <c r="L135" s="11"/>
      <c r="M135" s="12"/>
      <c r="N135" s="13" t="n">
        <f aca="false">IF(L135="Своя ціна",M135,IF(L135="Прийняти",IF(ISNUMBER(J135),J135,E135),E135))</f>
        <v>350</v>
      </c>
      <c r="O135" s="8" t="s">
        <v>400</v>
      </c>
      <c r="P135" s="14" t="s">
        <v>401</v>
      </c>
    </row>
    <row r="136" customFormat="false" ht="95.5" hidden="false" customHeight="false" outlineLevel="0" collapsed="false">
      <c r="A136" s="8" t="s">
        <v>11</v>
      </c>
      <c r="B136" s="8" t="s">
        <v>11</v>
      </c>
      <c r="C136" s="8" t="s">
        <v>402</v>
      </c>
      <c r="D136" s="8" t="s">
        <v>61</v>
      </c>
      <c r="E136" s="9" t="n">
        <v>200</v>
      </c>
      <c r="F136" s="9" t="n">
        <v>120</v>
      </c>
      <c r="G136" s="9" t="n">
        <v>190</v>
      </c>
      <c r="H136" s="9" t="n">
        <v>300</v>
      </c>
      <c r="I136" s="8" t="s">
        <v>105</v>
      </c>
      <c r="J136" s="9" t="n">
        <v>150</v>
      </c>
      <c r="K136" s="10" t="n">
        <f aca="false">IF(AND(ISNUMBER(J136),E136&gt;0),J136/E136-1,"")</f>
        <v>-0.25</v>
      </c>
      <c r="L136" s="11"/>
      <c r="M136" s="12"/>
      <c r="N136" s="13" t="n">
        <f aca="false">IF(L136="Своя ціна",M136,IF(L136="Прийняти",IF(ISNUMBER(J136),J136,E136),E136))</f>
        <v>200</v>
      </c>
      <c r="O136" s="8" t="s">
        <v>403</v>
      </c>
      <c r="P136" s="14" t="s">
        <v>404</v>
      </c>
    </row>
    <row r="137" customFormat="false" ht="126.85" hidden="false" customHeight="false" outlineLevel="0" collapsed="false">
      <c r="A137" s="8" t="s">
        <v>11</v>
      </c>
      <c r="B137" s="8" t="s">
        <v>11</v>
      </c>
      <c r="C137" s="8" t="s">
        <v>405</v>
      </c>
      <c r="D137" s="8" t="s">
        <v>49</v>
      </c>
      <c r="E137" s="9" t="n">
        <v>210</v>
      </c>
      <c r="F137" s="9" t="n">
        <v>25</v>
      </c>
      <c r="G137" s="9" t="n">
        <v>50</v>
      </c>
      <c r="H137" s="9" t="n">
        <v>90</v>
      </c>
      <c r="I137" s="8" t="s">
        <v>105</v>
      </c>
      <c r="J137" s="9" t="n">
        <v>50</v>
      </c>
      <c r="K137" s="10" t="n">
        <f aca="false">IF(AND(ISNUMBER(J137),E137&gt;0),J137/E137-1,"")</f>
        <v>-0.761904761904762</v>
      </c>
      <c r="L137" s="11"/>
      <c r="M137" s="12"/>
      <c r="N137" s="13" t="n">
        <f aca="false">IF(L137="Своя ціна",M137,IF(L137="Прийняти",IF(ISNUMBER(J137),J137,E137),E137))</f>
        <v>210</v>
      </c>
      <c r="O137" s="8" t="s">
        <v>406</v>
      </c>
      <c r="P137" s="14" t="s">
        <v>407</v>
      </c>
    </row>
    <row r="138" customFormat="false" ht="53.7" hidden="false" customHeight="false" outlineLevel="0" collapsed="false">
      <c r="A138" s="8" t="s">
        <v>11</v>
      </c>
      <c r="B138" s="8" t="s">
        <v>11</v>
      </c>
      <c r="C138" s="8" t="s">
        <v>408</v>
      </c>
      <c r="D138" s="8" t="s">
        <v>61</v>
      </c>
      <c r="E138" s="9" t="n">
        <v>800</v>
      </c>
      <c r="F138" s="9" t="n">
        <v>250</v>
      </c>
      <c r="G138" s="9" t="n">
        <v>500</v>
      </c>
      <c r="H138" s="9" t="n">
        <v>800</v>
      </c>
      <c r="I138" s="8" t="s">
        <v>105</v>
      </c>
      <c r="J138" s="9" t="n">
        <v>500</v>
      </c>
      <c r="K138" s="10" t="n">
        <f aca="false">IF(AND(ISNUMBER(J138),E138&gt;0),J138/E138-1,"")</f>
        <v>-0.375</v>
      </c>
      <c r="L138" s="11"/>
      <c r="M138" s="12"/>
      <c r="N138" s="13" t="n">
        <f aca="false">IF(L138="Своя ціна",M138,IF(L138="Прийняти",IF(ISNUMBER(J138),J138,E138),E138))</f>
        <v>800</v>
      </c>
      <c r="O138" s="8" t="s">
        <v>409</v>
      </c>
      <c r="P138" s="14" t="s">
        <v>410</v>
      </c>
    </row>
    <row r="139" customFormat="false" ht="126.85" hidden="false" customHeight="false" outlineLevel="0" collapsed="false">
      <c r="A139" s="8" t="s">
        <v>11</v>
      </c>
      <c r="B139" s="8" t="s">
        <v>11</v>
      </c>
      <c r="C139" s="8" t="s">
        <v>411</v>
      </c>
      <c r="D139" s="8" t="s">
        <v>61</v>
      </c>
      <c r="E139" s="9" t="n">
        <v>500</v>
      </c>
      <c r="F139" s="9" t="n">
        <v>250</v>
      </c>
      <c r="G139" s="9" t="n">
        <v>375</v>
      </c>
      <c r="H139" s="9" t="n">
        <v>550</v>
      </c>
      <c r="I139" s="8" t="s">
        <v>105</v>
      </c>
      <c r="J139" s="9" t="n">
        <v>400</v>
      </c>
      <c r="K139" s="10" t="n">
        <f aca="false">IF(AND(ISNUMBER(J139),E139&gt;0),J139/E139-1,"")</f>
        <v>-0.2</v>
      </c>
      <c r="L139" s="11"/>
      <c r="M139" s="12"/>
      <c r="N139" s="13" t="n">
        <f aca="false">IF(L139="Своя ціна",M139,IF(L139="Прийняти",IF(ISNUMBER(J139),J139,E139),E139))</f>
        <v>500</v>
      </c>
      <c r="O139" s="8" t="s">
        <v>412</v>
      </c>
      <c r="P139" s="14" t="s">
        <v>413</v>
      </c>
    </row>
    <row r="140" customFormat="false" ht="105.95" hidden="false" customHeight="false" outlineLevel="0" collapsed="false">
      <c r="A140" s="8" t="s">
        <v>11</v>
      </c>
      <c r="B140" s="8" t="s">
        <v>11</v>
      </c>
      <c r="C140" s="8" t="s">
        <v>414</v>
      </c>
      <c r="D140" s="8" t="s">
        <v>61</v>
      </c>
      <c r="E140" s="9" t="n">
        <v>500</v>
      </c>
      <c r="F140" s="9" t="n">
        <v>275</v>
      </c>
      <c r="G140" s="9" t="n">
        <v>375</v>
      </c>
      <c r="H140" s="9" t="n">
        <v>550</v>
      </c>
      <c r="I140" s="8" t="s">
        <v>105</v>
      </c>
      <c r="J140" s="9" t="n">
        <v>400</v>
      </c>
      <c r="K140" s="10" t="n">
        <f aca="false">IF(AND(ISNUMBER(J140),E140&gt;0),J140/E140-1,"")</f>
        <v>-0.2</v>
      </c>
      <c r="L140" s="11"/>
      <c r="M140" s="12"/>
      <c r="N140" s="13" t="n">
        <f aca="false">IF(L140="Своя ціна",M140,IF(L140="Прийняти",IF(ISNUMBER(J140),J140,E140),E140))</f>
        <v>500</v>
      </c>
      <c r="O140" s="8" t="s">
        <v>415</v>
      </c>
      <c r="P140" s="14" t="s">
        <v>416</v>
      </c>
    </row>
    <row r="141" customFormat="false" ht="74.6" hidden="false" customHeight="false" outlineLevel="0" collapsed="false">
      <c r="A141" s="8" t="s">
        <v>11</v>
      </c>
      <c r="B141" s="8" t="s">
        <v>11</v>
      </c>
      <c r="C141" s="8" t="s">
        <v>417</v>
      </c>
      <c r="D141" s="8" t="s">
        <v>61</v>
      </c>
      <c r="E141" s="9" t="n">
        <v>500</v>
      </c>
      <c r="F141" s="9" t="n">
        <v>140</v>
      </c>
      <c r="G141" s="9" t="n">
        <v>300</v>
      </c>
      <c r="H141" s="9" t="n">
        <v>500</v>
      </c>
      <c r="I141" s="8" t="s">
        <v>105</v>
      </c>
      <c r="J141" s="9" t="n">
        <v>350</v>
      </c>
      <c r="K141" s="10" t="n">
        <f aca="false">IF(AND(ISNUMBER(J141),E141&gt;0),J141/E141-1,"")</f>
        <v>-0.3</v>
      </c>
      <c r="L141" s="11"/>
      <c r="M141" s="12"/>
      <c r="N141" s="13" t="n">
        <f aca="false">IF(L141="Своя ціна",M141,IF(L141="Прийняти",IF(ISNUMBER(J141),J141,E141),E141))</f>
        <v>500</v>
      </c>
      <c r="O141" s="8" t="s">
        <v>418</v>
      </c>
      <c r="P141" s="14" t="s">
        <v>419</v>
      </c>
    </row>
    <row r="142" customFormat="false" ht="95.5" hidden="false" customHeight="false" outlineLevel="0" collapsed="false">
      <c r="A142" s="8" t="s">
        <v>11</v>
      </c>
      <c r="B142" s="8" t="s">
        <v>11</v>
      </c>
      <c r="C142" s="8" t="s">
        <v>420</v>
      </c>
      <c r="D142" s="8" t="s">
        <v>61</v>
      </c>
      <c r="E142" s="9" t="n">
        <v>600</v>
      </c>
      <c r="F142" s="9" t="n">
        <v>185</v>
      </c>
      <c r="G142" s="9" t="n">
        <v>330</v>
      </c>
      <c r="H142" s="9" t="n">
        <v>650</v>
      </c>
      <c r="I142" s="8" t="s">
        <v>105</v>
      </c>
      <c r="J142" s="9" t="n">
        <v>400</v>
      </c>
      <c r="K142" s="10" t="n">
        <f aca="false">IF(AND(ISNUMBER(J142),E142&gt;0),J142/E142-1,"")</f>
        <v>-0.333333333333333</v>
      </c>
      <c r="L142" s="11"/>
      <c r="M142" s="12"/>
      <c r="N142" s="13" t="n">
        <f aca="false">IF(L142="Своя ціна",M142,IF(L142="Прийняти",IF(ISNUMBER(J142),J142,E142),E142))</f>
        <v>600</v>
      </c>
      <c r="O142" s="8" t="s">
        <v>421</v>
      </c>
      <c r="P142" s="14" t="s">
        <v>422</v>
      </c>
    </row>
    <row r="143" customFormat="false" ht="116.4" hidden="false" customHeight="false" outlineLevel="0" collapsed="false">
      <c r="A143" s="8" t="s">
        <v>11</v>
      </c>
      <c r="B143" s="8" t="s">
        <v>11</v>
      </c>
      <c r="C143" s="8" t="s">
        <v>423</v>
      </c>
      <c r="D143" s="8" t="s">
        <v>61</v>
      </c>
      <c r="E143" s="9" t="n">
        <v>1500</v>
      </c>
      <c r="F143" s="9" t="n">
        <v>500</v>
      </c>
      <c r="G143" s="9" t="n">
        <v>700</v>
      </c>
      <c r="H143" s="9" t="n">
        <v>2000</v>
      </c>
      <c r="I143" s="8" t="s">
        <v>105</v>
      </c>
      <c r="J143" s="9" t="n">
        <v>900</v>
      </c>
      <c r="K143" s="10" t="n">
        <f aca="false">IF(AND(ISNUMBER(J143),E143&gt;0),J143/E143-1,"")</f>
        <v>-0.4</v>
      </c>
      <c r="L143" s="11"/>
      <c r="M143" s="12"/>
      <c r="N143" s="13" t="n">
        <f aca="false">IF(L143="Своя ціна",M143,IF(L143="Прийняти",IF(ISNUMBER(J143),J143,E143),E143))</f>
        <v>1500</v>
      </c>
      <c r="O143" s="8" t="s">
        <v>424</v>
      </c>
      <c r="P143" s="14" t="s">
        <v>425</v>
      </c>
    </row>
    <row r="144" customFormat="false" ht="137.3" hidden="false" customHeight="false" outlineLevel="0" collapsed="false">
      <c r="A144" s="8" t="s">
        <v>11</v>
      </c>
      <c r="B144" s="8" t="s">
        <v>11</v>
      </c>
      <c r="C144" s="8" t="s">
        <v>426</v>
      </c>
      <c r="D144" s="8" t="s">
        <v>61</v>
      </c>
      <c r="E144" s="9" t="n">
        <v>450</v>
      </c>
      <c r="F144" s="9" t="n">
        <v>200</v>
      </c>
      <c r="G144" s="9" t="n">
        <v>350</v>
      </c>
      <c r="H144" s="9" t="n">
        <v>550</v>
      </c>
      <c r="I144" s="8" t="s">
        <v>105</v>
      </c>
      <c r="J144" s="9" t="n">
        <v>380</v>
      </c>
      <c r="K144" s="10" t="n">
        <f aca="false">IF(AND(ISNUMBER(J144),E144&gt;0),J144/E144-1,"")</f>
        <v>-0.155555555555556</v>
      </c>
      <c r="L144" s="11"/>
      <c r="M144" s="12"/>
      <c r="N144" s="13" t="n">
        <f aca="false">IF(L144="Своя ціна",M144,IF(L144="Прийняти",IF(ISNUMBER(J144),J144,E144),E144))</f>
        <v>450</v>
      </c>
      <c r="O144" s="8" t="s">
        <v>427</v>
      </c>
      <c r="P144" s="14" t="s">
        <v>428</v>
      </c>
    </row>
    <row r="145" customFormat="false" ht="85.05" hidden="false" customHeight="false" outlineLevel="0" collapsed="false">
      <c r="A145" s="8" t="s">
        <v>11</v>
      </c>
      <c r="B145" s="8" t="s">
        <v>11</v>
      </c>
      <c r="C145" s="8" t="s">
        <v>429</v>
      </c>
      <c r="D145" s="8" t="s">
        <v>61</v>
      </c>
      <c r="E145" s="9" t="n">
        <v>320</v>
      </c>
      <c r="F145" s="9" t="n">
        <v>140</v>
      </c>
      <c r="G145" s="9" t="n">
        <v>250</v>
      </c>
      <c r="H145" s="9" t="n">
        <v>300</v>
      </c>
      <c r="I145" s="8" t="s">
        <v>105</v>
      </c>
      <c r="J145" s="9" t="n">
        <v>260</v>
      </c>
      <c r="K145" s="10" t="n">
        <f aca="false">IF(AND(ISNUMBER(J145),E145&gt;0),J145/E145-1,"")</f>
        <v>-0.1875</v>
      </c>
      <c r="L145" s="11"/>
      <c r="M145" s="12"/>
      <c r="N145" s="13" t="n">
        <f aca="false">IF(L145="Своя ціна",M145,IF(L145="Прийняти",IF(ISNUMBER(J145),J145,E145),E145))</f>
        <v>320</v>
      </c>
      <c r="O145" s="8" t="s">
        <v>430</v>
      </c>
      <c r="P145" s="14" t="s">
        <v>431</v>
      </c>
    </row>
    <row r="146" customFormat="false" ht="137.3" hidden="false" customHeight="false" outlineLevel="0" collapsed="false">
      <c r="A146" s="8" t="s">
        <v>11</v>
      </c>
      <c r="B146" s="8" t="s">
        <v>11</v>
      </c>
      <c r="C146" s="8" t="s">
        <v>432</v>
      </c>
      <c r="D146" s="8" t="s">
        <v>61</v>
      </c>
      <c r="E146" s="9" t="n">
        <v>750</v>
      </c>
      <c r="F146" s="9" t="n">
        <v>300</v>
      </c>
      <c r="G146" s="9" t="n">
        <v>570</v>
      </c>
      <c r="H146" s="9" t="n">
        <v>1000</v>
      </c>
      <c r="I146" s="8" t="s">
        <v>105</v>
      </c>
      <c r="J146" s="9" t="n">
        <v>600</v>
      </c>
      <c r="K146" s="10" t="n">
        <f aca="false">IF(AND(ISNUMBER(J146),E146&gt;0),J146/E146-1,"")</f>
        <v>-0.2</v>
      </c>
      <c r="L146" s="11"/>
      <c r="M146" s="12"/>
      <c r="N146" s="13" t="n">
        <f aca="false">IF(L146="Своя ціна",M146,IF(L146="Прийняти",IF(ISNUMBER(J146),J146,E146),E146))</f>
        <v>750</v>
      </c>
      <c r="O146" s="8" t="s">
        <v>433</v>
      </c>
      <c r="P146" s="14" t="s">
        <v>434</v>
      </c>
    </row>
    <row r="147" customFormat="false" ht="64.15" hidden="false" customHeight="false" outlineLevel="0" collapsed="false">
      <c r="A147" s="8" t="s">
        <v>11</v>
      </c>
      <c r="B147" s="8" t="s">
        <v>11</v>
      </c>
      <c r="C147" s="8" t="s">
        <v>435</v>
      </c>
      <c r="D147" s="8" t="s">
        <v>61</v>
      </c>
      <c r="E147" s="9" t="n">
        <v>450</v>
      </c>
      <c r="F147" s="9" t="n">
        <v>150</v>
      </c>
      <c r="G147" s="9" t="n">
        <v>240</v>
      </c>
      <c r="H147" s="9" t="n">
        <v>310</v>
      </c>
      <c r="I147" s="8" t="s">
        <v>105</v>
      </c>
      <c r="J147" s="9" t="n">
        <v>280</v>
      </c>
      <c r="K147" s="10" t="n">
        <f aca="false">IF(AND(ISNUMBER(J147),E147&gt;0),J147/E147-1,"")</f>
        <v>-0.377777777777778</v>
      </c>
      <c r="L147" s="11"/>
      <c r="M147" s="12"/>
      <c r="N147" s="13" t="n">
        <f aca="false">IF(L147="Своя ціна",M147,IF(L147="Прийняти",IF(ISNUMBER(J147),J147,E147),E147))</f>
        <v>450</v>
      </c>
      <c r="O147" s="8" t="s">
        <v>436</v>
      </c>
      <c r="P147" s="14" t="s">
        <v>437</v>
      </c>
    </row>
    <row r="148" customFormat="false" ht="95.5" hidden="false" customHeight="false" outlineLevel="0" collapsed="false">
      <c r="A148" s="8" t="s">
        <v>11</v>
      </c>
      <c r="B148" s="8" t="s">
        <v>11</v>
      </c>
      <c r="C148" s="8" t="s">
        <v>438</v>
      </c>
      <c r="D148" s="8" t="s">
        <v>61</v>
      </c>
      <c r="E148" s="9" t="n">
        <v>600</v>
      </c>
      <c r="F148" s="9" t="n">
        <v>400</v>
      </c>
      <c r="G148" s="9" t="n">
        <v>400</v>
      </c>
      <c r="H148" s="9" t="n">
        <v>700</v>
      </c>
      <c r="I148" s="8" t="s">
        <v>105</v>
      </c>
      <c r="J148" s="9" t="n">
        <v>450</v>
      </c>
      <c r="K148" s="10" t="n">
        <f aca="false">IF(AND(ISNUMBER(J148),E148&gt;0),J148/E148-1,"")</f>
        <v>-0.25</v>
      </c>
      <c r="L148" s="11"/>
      <c r="M148" s="12"/>
      <c r="N148" s="13" t="n">
        <f aca="false">IF(L148="Своя ціна",M148,IF(L148="Прийняти",IF(ISNUMBER(J148),J148,E148),E148))</f>
        <v>600</v>
      </c>
      <c r="O148" s="8" t="s">
        <v>439</v>
      </c>
      <c r="P148" s="14" t="s">
        <v>440</v>
      </c>
    </row>
    <row r="149" customFormat="false" ht="126.85" hidden="false" customHeight="false" outlineLevel="0" collapsed="false">
      <c r="A149" s="8" t="s">
        <v>11</v>
      </c>
      <c r="B149" s="8" t="s">
        <v>11</v>
      </c>
      <c r="C149" s="8" t="s">
        <v>441</v>
      </c>
      <c r="D149" s="8" t="s">
        <v>49</v>
      </c>
      <c r="E149" s="9" t="n">
        <v>220</v>
      </c>
      <c r="F149" s="9" t="n">
        <v>120</v>
      </c>
      <c r="G149" s="9" t="n">
        <v>185</v>
      </c>
      <c r="H149" s="9" t="n">
        <v>300</v>
      </c>
      <c r="I149" s="8" t="s">
        <v>105</v>
      </c>
      <c r="J149" s="9" t="n">
        <v>200</v>
      </c>
      <c r="K149" s="10" t="n">
        <f aca="false">IF(AND(ISNUMBER(J149),E149&gt;0),J149/E149-1,"")</f>
        <v>-0.0909090909090909</v>
      </c>
      <c r="L149" s="11"/>
      <c r="M149" s="12"/>
      <c r="N149" s="13" t="n">
        <f aca="false">IF(L149="Своя ціна",M149,IF(L149="Прийняти",IF(ISNUMBER(J149),J149,E149),E149))</f>
        <v>220</v>
      </c>
      <c r="O149" s="8" t="s">
        <v>442</v>
      </c>
      <c r="P149" s="14" t="s">
        <v>443</v>
      </c>
    </row>
    <row r="150" customFormat="false" ht="43.25" hidden="false" customHeight="false" outlineLevel="0" collapsed="false">
      <c r="A150" s="8" t="s">
        <v>11</v>
      </c>
      <c r="B150" s="8" t="s">
        <v>11</v>
      </c>
      <c r="C150" s="8" t="s">
        <v>444</v>
      </c>
      <c r="D150" s="8" t="s">
        <v>61</v>
      </c>
      <c r="E150" s="9" t="n">
        <v>1250</v>
      </c>
      <c r="F150" s="9"/>
      <c r="G150" s="9"/>
      <c r="H150" s="9"/>
      <c r="I150" s="8" t="s">
        <v>121</v>
      </c>
      <c r="J150" s="9"/>
      <c r="K150" s="10" t="str">
        <f aca="false">IF(AND(ISNUMBER(J150),E150&gt;0),J150/E150-1,"")</f>
        <v/>
      </c>
      <c r="L150" s="11"/>
      <c r="M150" s="12"/>
      <c r="N150" s="13" t="n">
        <f aca="false">IF(L150="Своя ціна",M150,IF(L150="Прийняти",IF(ISNUMBER(J150),J150,E150),E150))</f>
        <v>1250</v>
      </c>
      <c r="O150" s="8" t="s">
        <v>445</v>
      </c>
      <c r="P150" s="14" t="s">
        <v>446</v>
      </c>
    </row>
    <row r="151" customFormat="false" ht="43.25" hidden="false" customHeight="false" outlineLevel="0" collapsed="false">
      <c r="A151" s="8" t="s">
        <v>11</v>
      </c>
      <c r="B151" s="8" t="s">
        <v>11</v>
      </c>
      <c r="C151" s="8" t="s">
        <v>447</v>
      </c>
      <c r="D151" s="8" t="s">
        <v>61</v>
      </c>
      <c r="E151" s="9" t="n">
        <v>150</v>
      </c>
      <c r="F151" s="9"/>
      <c r="G151" s="9"/>
      <c r="H151" s="9"/>
      <c r="I151" s="8" t="s">
        <v>121</v>
      </c>
      <c r="J151" s="9"/>
      <c r="K151" s="10" t="str">
        <f aca="false">IF(AND(ISNUMBER(J151),E151&gt;0),J151/E151-1,"")</f>
        <v/>
      </c>
      <c r="L151" s="11"/>
      <c r="M151" s="12"/>
      <c r="N151" s="13" t="n">
        <f aca="false">IF(L151="Своя ціна",M151,IF(L151="Прийняти",IF(ISNUMBER(J151),J151,E151),E151))</f>
        <v>150</v>
      </c>
      <c r="O151" s="8" t="s">
        <v>448</v>
      </c>
      <c r="P151" s="14" t="s">
        <v>449</v>
      </c>
    </row>
    <row r="152" customFormat="false" ht="32.8" hidden="false" customHeight="false" outlineLevel="0" collapsed="false">
      <c r="A152" s="8" t="s">
        <v>11</v>
      </c>
      <c r="B152" s="8" t="s">
        <v>11</v>
      </c>
      <c r="C152" s="8" t="s">
        <v>450</v>
      </c>
      <c r="D152" s="8" t="s">
        <v>61</v>
      </c>
      <c r="E152" s="9" t="n">
        <v>4500</v>
      </c>
      <c r="F152" s="9" t="n">
        <v>4500</v>
      </c>
      <c r="G152" s="9" t="n">
        <v>5600</v>
      </c>
      <c r="H152" s="9" t="n">
        <v>6700</v>
      </c>
      <c r="I152" s="8" t="s">
        <v>121</v>
      </c>
      <c r="J152" s="9"/>
      <c r="K152" s="10" t="str">
        <f aca="false">IF(AND(ISNUMBER(J152),E152&gt;0),J152/E152-1,"")</f>
        <v/>
      </c>
      <c r="L152" s="11"/>
      <c r="M152" s="12"/>
      <c r="N152" s="13" t="n">
        <f aca="false">IF(L152="Своя ціна",M152,IF(L152="Прийняти",IF(ISNUMBER(J152),J152,E152),E152))</f>
        <v>4500</v>
      </c>
      <c r="O152" s="8" t="s">
        <v>451</v>
      </c>
      <c r="P152" s="14" t="s">
        <v>452</v>
      </c>
    </row>
    <row r="153" customFormat="false" ht="126.85" hidden="false" customHeight="false" outlineLevel="0" collapsed="false">
      <c r="A153" s="8" t="s">
        <v>11</v>
      </c>
      <c r="B153" s="8" t="s">
        <v>11</v>
      </c>
      <c r="C153" s="8" t="s">
        <v>453</v>
      </c>
      <c r="D153" s="8" t="s">
        <v>61</v>
      </c>
      <c r="E153" s="9" t="n">
        <v>900</v>
      </c>
      <c r="F153" s="9" t="n">
        <v>600</v>
      </c>
      <c r="G153" s="9" t="n">
        <v>1100</v>
      </c>
      <c r="H153" s="9" t="n">
        <v>2650</v>
      </c>
      <c r="I153" s="8" t="s">
        <v>128</v>
      </c>
      <c r="J153" s="9"/>
      <c r="K153" s="10" t="str">
        <f aca="false">IF(AND(ISNUMBER(J153),E153&gt;0),J153/E153-1,"")</f>
        <v/>
      </c>
      <c r="L153" s="11"/>
      <c r="M153" s="12"/>
      <c r="N153" s="13" t="n">
        <f aca="false">IF(L153="Своя ціна",M153,IF(L153="Прийняти",IF(ISNUMBER(J153),J153,E153),E153))</f>
        <v>900</v>
      </c>
      <c r="O153" s="8" t="s">
        <v>454</v>
      </c>
      <c r="P153" s="14" t="s">
        <v>455</v>
      </c>
    </row>
    <row r="154" customFormat="false" ht="85.05" hidden="false" customHeight="false" outlineLevel="0" collapsed="false">
      <c r="A154" s="8" t="s">
        <v>11</v>
      </c>
      <c r="B154" s="8" t="s">
        <v>11</v>
      </c>
      <c r="C154" s="8" t="s">
        <v>456</v>
      </c>
      <c r="D154" s="8" t="s">
        <v>61</v>
      </c>
      <c r="E154" s="9" t="n">
        <v>500</v>
      </c>
      <c r="F154" s="9" t="n">
        <v>200</v>
      </c>
      <c r="G154" s="9" t="n">
        <v>450</v>
      </c>
      <c r="H154" s="9" t="n">
        <v>600</v>
      </c>
      <c r="I154" s="8" t="s">
        <v>128</v>
      </c>
      <c r="J154" s="9"/>
      <c r="K154" s="10" t="str">
        <f aca="false">IF(AND(ISNUMBER(J154),E154&gt;0),J154/E154-1,"")</f>
        <v/>
      </c>
      <c r="L154" s="11"/>
      <c r="M154" s="12"/>
      <c r="N154" s="13" t="n">
        <f aca="false">IF(L154="Своя ціна",M154,IF(L154="Прийняти",IF(ISNUMBER(J154),J154,E154),E154))</f>
        <v>500</v>
      </c>
      <c r="O154" s="8" t="s">
        <v>457</v>
      </c>
      <c r="P154" s="14" t="s">
        <v>458</v>
      </c>
    </row>
    <row r="155" customFormat="false" ht="105.95" hidden="false" customHeight="false" outlineLevel="0" collapsed="false">
      <c r="A155" s="8" t="s">
        <v>11</v>
      </c>
      <c r="B155" s="8" t="s">
        <v>11</v>
      </c>
      <c r="C155" s="8" t="s">
        <v>459</v>
      </c>
      <c r="D155" s="8" t="s">
        <v>61</v>
      </c>
      <c r="E155" s="9" t="n">
        <v>80</v>
      </c>
      <c r="F155" s="9" t="n">
        <v>40</v>
      </c>
      <c r="G155" s="9" t="n">
        <v>60</v>
      </c>
      <c r="H155" s="9" t="n">
        <v>150</v>
      </c>
      <c r="I155" s="8" t="s">
        <v>128</v>
      </c>
      <c r="J155" s="9"/>
      <c r="K155" s="10" t="str">
        <f aca="false">IF(AND(ISNUMBER(J155),E155&gt;0),J155/E155-1,"")</f>
        <v/>
      </c>
      <c r="L155" s="11"/>
      <c r="M155" s="12"/>
      <c r="N155" s="13" t="n">
        <f aca="false">IF(L155="Своя ціна",M155,IF(L155="Прийняти",IF(ISNUMBER(J155),J155,E155),E155))</f>
        <v>80</v>
      </c>
      <c r="O155" s="8" t="s">
        <v>460</v>
      </c>
      <c r="P155" s="14" t="s">
        <v>461</v>
      </c>
    </row>
    <row r="156" customFormat="false" ht="64.15" hidden="false" customHeight="false" outlineLevel="0" collapsed="false">
      <c r="A156" s="8" t="s">
        <v>11</v>
      </c>
      <c r="B156" s="8" t="s">
        <v>11</v>
      </c>
      <c r="C156" s="8" t="s">
        <v>462</v>
      </c>
      <c r="D156" s="8" t="s">
        <v>49</v>
      </c>
      <c r="E156" s="9" t="n">
        <v>50</v>
      </c>
      <c r="F156" s="9" t="n">
        <v>15</v>
      </c>
      <c r="G156" s="9" t="n">
        <v>50</v>
      </c>
      <c r="H156" s="9" t="n">
        <v>150</v>
      </c>
      <c r="I156" s="8" t="s">
        <v>128</v>
      </c>
      <c r="J156" s="9"/>
      <c r="K156" s="10" t="str">
        <f aca="false">IF(AND(ISNUMBER(J156),E156&gt;0),J156/E156-1,"")</f>
        <v/>
      </c>
      <c r="L156" s="11"/>
      <c r="M156" s="12"/>
      <c r="N156" s="13" t="n">
        <f aca="false">IF(L156="Своя ціна",M156,IF(L156="Прийняти",IF(ISNUMBER(J156),J156,E156),E156))</f>
        <v>50</v>
      </c>
      <c r="O156" s="8" t="s">
        <v>463</v>
      </c>
      <c r="P156" s="14" t="s">
        <v>464</v>
      </c>
    </row>
    <row r="157" customFormat="false" ht="85.05" hidden="false" customHeight="false" outlineLevel="0" collapsed="false">
      <c r="A157" s="8" t="s">
        <v>11</v>
      </c>
      <c r="B157" s="8" t="s">
        <v>11</v>
      </c>
      <c r="C157" s="8" t="s">
        <v>465</v>
      </c>
      <c r="D157" s="8" t="s">
        <v>466</v>
      </c>
      <c r="E157" s="9" t="n">
        <v>8000</v>
      </c>
      <c r="F157" s="9" t="n">
        <v>4900</v>
      </c>
      <c r="G157" s="9" t="n">
        <v>7000</v>
      </c>
      <c r="H157" s="9" t="n">
        <v>10000</v>
      </c>
      <c r="I157" s="8" t="s">
        <v>128</v>
      </c>
      <c r="J157" s="9"/>
      <c r="K157" s="10" t="str">
        <f aca="false">IF(AND(ISNUMBER(J157),E157&gt;0),J157/E157-1,"")</f>
        <v/>
      </c>
      <c r="L157" s="11"/>
      <c r="M157" s="12"/>
      <c r="N157" s="13" t="n">
        <f aca="false">IF(L157="Своя ціна",M157,IF(L157="Прийняти",IF(ISNUMBER(J157),J157,E157),E157))</f>
        <v>8000</v>
      </c>
      <c r="O157" s="8" t="s">
        <v>467</v>
      </c>
      <c r="P157" s="14" t="s">
        <v>468</v>
      </c>
    </row>
    <row r="158" customFormat="false" ht="95.5" hidden="false" customHeight="false" outlineLevel="0" collapsed="false">
      <c r="A158" s="8" t="s">
        <v>11</v>
      </c>
      <c r="B158" s="8" t="s">
        <v>11</v>
      </c>
      <c r="C158" s="8" t="s">
        <v>469</v>
      </c>
      <c r="D158" s="8" t="s">
        <v>61</v>
      </c>
      <c r="E158" s="9" t="n">
        <v>380</v>
      </c>
      <c r="F158" s="9" t="n">
        <v>250</v>
      </c>
      <c r="G158" s="9" t="n">
        <v>365</v>
      </c>
      <c r="H158" s="9" t="n">
        <v>450</v>
      </c>
      <c r="I158" s="8" t="s">
        <v>128</v>
      </c>
      <c r="J158" s="9"/>
      <c r="K158" s="10" t="str">
        <f aca="false">IF(AND(ISNUMBER(J158),E158&gt;0),J158/E158-1,"")</f>
        <v/>
      </c>
      <c r="L158" s="11"/>
      <c r="M158" s="12"/>
      <c r="N158" s="13" t="n">
        <f aca="false">IF(L158="Своя ціна",M158,IF(L158="Прийняти",IF(ISNUMBER(J158),J158,E158),E158))</f>
        <v>380</v>
      </c>
      <c r="O158" s="8" t="s">
        <v>470</v>
      </c>
      <c r="P158" s="14" t="s">
        <v>471</v>
      </c>
    </row>
    <row r="159" customFormat="false" ht="85.05" hidden="false" customHeight="false" outlineLevel="0" collapsed="false">
      <c r="A159" s="8" t="s">
        <v>11</v>
      </c>
      <c r="B159" s="8" t="s">
        <v>11</v>
      </c>
      <c r="C159" s="8" t="s">
        <v>472</v>
      </c>
      <c r="D159" s="8" t="s">
        <v>61</v>
      </c>
      <c r="E159" s="9" t="n">
        <v>200</v>
      </c>
      <c r="F159" s="9" t="n">
        <v>85</v>
      </c>
      <c r="G159" s="9" t="n">
        <v>200</v>
      </c>
      <c r="H159" s="9" t="n">
        <v>280</v>
      </c>
      <c r="I159" s="8" t="s">
        <v>128</v>
      </c>
      <c r="J159" s="9"/>
      <c r="K159" s="10" t="str">
        <f aca="false">IF(AND(ISNUMBER(J159),E159&gt;0),J159/E159-1,"")</f>
        <v/>
      </c>
      <c r="L159" s="11"/>
      <c r="M159" s="12"/>
      <c r="N159" s="13" t="n">
        <f aca="false">IF(L159="Своя ціна",M159,IF(L159="Прийняти",IF(ISNUMBER(J159),J159,E159),E159))</f>
        <v>200</v>
      </c>
      <c r="O159" s="8" t="s">
        <v>457</v>
      </c>
      <c r="P159" s="14" t="s">
        <v>473</v>
      </c>
    </row>
    <row r="160" customFormat="false" ht="137.3" hidden="false" customHeight="false" outlineLevel="0" collapsed="false">
      <c r="A160" s="8" t="s">
        <v>11</v>
      </c>
      <c r="B160" s="8" t="s">
        <v>11</v>
      </c>
      <c r="C160" s="8" t="s">
        <v>474</v>
      </c>
      <c r="D160" s="8" t="s">
        <v>61</v>
      </c>
      <c r="E160" s="9" t="n">
        <v>800</v>
      </c>
      <c r="F160" s="9" t="n">
        <v>500</v>
      </c>
      <c r="G160" s="9" t="n">
        <v>800</v>
      </c>
      <c r="H160" s="9" t="n">
        <v>1000</v>
      </c>
      <c r="I160" s="8" t="s">
        <v>128</v>
      </c>
      <c r="J160" s="9"/>
      <c r="K160" s="10" t="str">
        <f aca="false">IF(AND(ISNUMBER(J160),E160&gt;0),J160/E160-1,"")</f>
        <v/>
      </c>
      <c r="L160" s="11"/>
      <c r="M160" s="12"/>
      <c r="N160" s="13" t="n">
        <f aca="false">IF(L160="Своя ціна",M160,IF(L160="Прийняти",IF(ISNUMBER(J160),J160,E160),E160))</f>
        <v>800</v>
      </c>
      <c r="O160" s="8" t="s">
        <v>475</v>
      </c>
      <c r="P160" s="14" t="s">
        <v>476</v>
      </c>
    </row>
    <row r="161" customFormat="false" ht="64.15" hidden="false" customHeight="false" outlineLevel="0" collapsed="false">
      <c r="A161" s="8" t="s">
        <v>11</v>
      </c>
      <c r="B161" s="8" t="s">
        <v>11</v>
      </c>
      <c r="C161" s="8" t="s">
        <v>477</v>
      </c>
      <c r="D161" s="8" t="s">
        <v>61</v>
      </c>
      <c r="E161" s="9" t="n">
        <v>60</v>
      </c>
      <c r="F161" s="9" t="n">
        <v>50</v>
      </c>
      <c r="G161" s="9" t="n">
        <v>60</v>
      </c>
      <c r="H161" s="9" t="n">
        <v>80</v>
      </c>
      <c r="I161" s="8" t="s">
        <v>128</v>
      </c>
      <c r="J161" s="9"/>
      <c r="K161" s="10" t="str">
        <f aca="false">IF(AND(ISNUMBER(J161),E161&gt;0),J161/E161-1,"")</f>
        <v/>
      </c>
      <c r="L161" s="11"/>
      <c r="M161" s="12"/>
      <c r="N161" s="13" t="n">
        <f aca="false">IF(L161="Своя ціна",M161,IF(L161="Прийняти",IF(ISNUMBER(J161),J161,E161),E161))</f>
        <v>60</v>
      </c>
      <c r="O161" s="8" t="s">
        <v>478</v>
      </c>
      <c r="P161" s="14" t="s">
        <v>479</v>
      </c>
    </row>
    <row r="162" customFormat="false" ht="137.3" hidden="false" customHeight="false" outlineLevel="0" collapsed="false">
      <c r="A162" s="8" t="s">
        <v>11</v>
      </c>
      <c r="B162" s="8" t="s">
        <v>11</v>
      </c>
      <c r="C162" s="8" t="s">
        <v>480</v>
      </c>
      <c r="D162" s="8" t="s">
        <v>61</v>
      </c>
      <c r="E162" s="9" t="n">
        <v>220</v>
      </c>
      <c r="F162" s="9" t="n">
        <v>150</v>
      </c>
      <c r="G162" s="9" t="n">
        <v>240</v>
      </c>
      <c r="H162" s="9" t="n">
        <v>330</v>
      </c>
      <c r="I162" s="8" t="s">
        <v>128</v>
      </c>
      <c r="J162" s="9"/>
      <c r="K162" s="10" t="str">
        <f aca="false">IF(AND(ISNUMBER(J162),E162&gt;0),J162/E162-1,"")</f>
        <v/>
      </c>
      <c r="L162" s="11"/>
      <c r="M162" s="12"/>
      <c r="N162" s="13" t="n">
        <f aca="false">IF(L162="Своя ціна",M162,IF(L162="Прийняти",IF(ISNUMBER(J162),J162,E162),E162))</f>
        <v>220</v>
      </c>
      <c r="O162" s="8" t="s">
        <v>481</v>
      </c>
      <c r="P162" s="14" t="s">
        <v>482</v>
      </c>
    </row>
    <row r="163" customFormat="false" ht="85.05" hidden="false" customHeight="false" outlineLevel="0" collapsed="false">
      <c r="A163" s="8" t="s">
        <v>11</v>
      </c>
      <c r="B163" s="8" t="s">
        <v>11</v>
      </c>
      <c r="C163" s="8" t="s">
        <v>483</v>
      </c>
      <c r="D163" s="8" t="s">
        <v>61</v>
      </c>
      <c r="E163" s="9" t="n">
        <v>90</v>
      </c>
      <c r="F163" s="9" t="n">
        <v>100</v>
      </c>
      <c r="G163" s="9" t="n">
        <v>145</v>
      </c>
      <c r="H163" s="9" t="n">
        <v>220</v>
      </c>
      <c r="I163" s="8" t="s">
        <v>128</v>
      </c>
      <c r="J163" s="9"/>
      <c r="K163" s="10" t="str">
        <f aca="false">IF(AND(ISNUMBER(J163),E163&gt;0),J163/E163-1,"")</f>
        <v/>
      </c>
      <c r="L163" s="11"/>
      <c r="M163" s="12"/>
      <c r="N163" s="13" t="n">
        <f aca="false">IF(L163="Своя ціна",M163,IF(L163="Прийняти",IF(ISNUMBER(J163),J163,E163),E163))</f>
        <v>90</v>
      </c>
      <c r="O163" s="8" t="s">
        <v>484</v>
      </c>
      <c r="P163" s="14" t="s">
        <v>485</v>
      </c>
    </row>
    <row r="164" customFormat="false" ht="126.85" hidden="false" customHeight="false" outlineLevel="0" collapsed="false">
      <c r="A164" s="8" t="s">
        <v>11</v>
      </c>
      <c r="B164" s="8" t="s">
        <v>11</v>
      </c>
      <c r="C164" s="8" t="s">
        <v>486</v>
      </c>
      <c r="D164" s="8" t="s">
        <v>61</v>
      </c>
      <c r="E164" s="9" t="n">
        <v>140</v>
      </c>
      <c r="F164" s="9" t="n">
        <v>120</v>
      </c>
      <c r="G164" s="9" t="n">
        <v>170</v>
      </c>
      <c r="H164" s="9" t="n">
        <v>240</v>
      </c>
      <c r="I164" s="8" t="s">
        <v>128</v>
      </c>
      <c r="J164" s="9"/>
      <c r="K164" s="10" t="str">
        <f aca="false">IF(AND(ISNUMBER(J164),E164&gt;0),J164/E164-1,"")</f>
        <v/>
      </c>
      <c r="L164" s="11"/>
      <c r="M164" s="12"/>
      <c r="N164" s="13" t="n">
        <f aca="false">IF(L164="Своя ціна",M164,IF(L164="Прийняти",IF(ISNUMBER(J164),J164,E164),E164))</f>
        <v>140</v>
      </c>
      <c r="O164" s="8" t="s">
        <v>487</v>
      </c>
      <c r="P164" s="14" t="s">
        <v>488</v>
      </c>
    </row>
    <row r="165" customFormat="false" ht="43.25" hidden="false" customHeight="false" outlineLevel="0" collapsed="false">
      <c r="A165" s="8" t="s">
        <v>11</v>
      </c>
      <c r="B165" s="8" t="s">
        <v>11</v>
      </c>
      <c r="C165" s="8" t="s">
        <v>489</v>
      </c>
      <c r="D165" s="8" t="s">
        <v>41</v>
      </c>
      <c r="E165" s="9" t="n">
        <v>100</v>
      </c>
      <c r="F165" s="9" t="n">
        <v>76</v>
      </c>
      <c r="G165" s="9" t="n">
        <v>110</v>
      </c>
      <c r="H165" s="9" t="n">
        <v>200</v>
      </c>
      <c r="I165" s="8" t="s">
        <v>128</v>
      </c>
      <c r="J165" s="9"/>
      <c r="K165" s="10" t="str">
        <f aca="false">IF(AND(ISNUMBER(J165),E165&gt;0),J165/E165-1,"")</f>
        <v/>
      </c>
      <c r="L165" s="11"/>
      <c r="M165" s="12"/>
      <c r="N165" s="13" t="n">
        <f aca="false">IF(L165="Своя ціна",M165,IF(L165="Прийняти",IF(ISNUMBER(J165),J165,E165),E165))</f>
        <v>100</v>
      </c>
      <c r="O165" s="8" t="s">
        <v>490</v>
      </c>
      <c r="P165" s="14" t="s">
        <v>491</v>
      </c>
    </row>
    <row r="166" customFormat="false" ht="105.95" hidden="false" customHeight="false" outlineLevel="0" collapsed="false">
      <c r="A166" s="8" t="s">
        <v>11</v>
      </c>
      <c r="B166" s="8" t="s">
        <v>11</v>
      </c>
      <c r="C166" s="8" t="s">
        <v>492</v>
      </c>
      <c r="D166" s="8" t="s">
        <v>49</v>
      </c>
      <c r="E166" s="9" t="n">
        <v>65</v>
      </c>
      <c r="F166" s="9" t="n">
        <v>40</v>
      </c>
      <c r="G166" s="9" t="n">
        <v>62</v>
      </c>
      <c r="H166" s="9" t="n">
        <v>100</v>
      </c>
      <c r="I166" s="8" t="s">
        <v>128</v>
      </c>
      <c r="J166" s="9"/>
      <c r="K166" s="10" t="str">
        <f aca="false">IF(AND(ISNUMBER(J166),E166&gt;0),J166/E166-1,"")</f>
        <v/>
      </c>
      <c r="L166" s="11"/>
      <c r="M166" s="12"/>
      <c r="N166" s="13" t="n">
        <f aca="false">IF(L166="Своя ціна",M166,IF(L166="Прийняти",IF(ISNUMBER(J166),J166,E166),E166))</f>
        <v>65</v>
      </c>
      <c r="O166" s="8" t="s">
        <v>457</v>
      </c>
      <c r="P166" s="14" t="s">
        <v>493</v>
      </c>
    </row>
    <row r="167" customFormat="false" ht="116.4" hidden="false" customHeight="false" outlineLevel="0" collapsed="false">
      <c r="A167" s="8" t="s">
        <v>11</v>
      </c>
      <c r="B167" s="8" t="s">
        <v>11</v>
      </c>
      <c r="C167" s="8" t="s">
        <v>494</v>
      </c>
      <c r="D167" s="8" t="s">
        <v>49</v>
      </c>
      <c r="E167" s="9" t="n">
        <v>90</v>
      </c>
      <c r="F167" s="9" t="n">
        <v>35</v>
      </c>
      <c r="G167" s="9" t="n">
        <v>80</v>
      </c>
      <c r="H167" s="9" t="n">
        <v>130</v>
      </c>
      <c r="I167" s="8" t="s">
        <v>128</v>
      </c>
      <c r="J167" s="9"/>
      <c r="K167" s="10" t="str">
        <f aca="false">IF(AND(ISNUMBER(J167),E167&gt;0),J167/E167-1,"")</f>
        <v/>
      </c>
      <c r="L167" s="11"/>
      <c r="M167" s="12"/>
      <c r="N167" s="13" t="n">
        <f aca="false">IF(L167="Своя ціна",M167,IF(L167="Прийняти",IF(ISNUMBER(J167),J167,E167),E167))</f>
        <v>90</v>
      </c>
      <c r="O167" s="8" t="s">
        <v>457</v>
      </c>
      <c r="P167" s="14" t="s">
        <v>495</v>
      </c>
    </row>
    <row r="168" customFormat="false" ht="74.6" hidden="false" customHeight="false" outlineLevel="0" collapsed="false">
      <c r="A168" s="8" t="s">
        <v>11</v>
      </c>
      <c r="B168" s="8" t="s">
        <v>11</v>
      </c>
      <c r="C168" s="8" t="s">
        <v>496</v>
      </c>
      <c r="D168" s="8" t="s">
        <v>49</v>
      </c>
      <c r="E168" s="9" t="n">
        <v>84</v>
      </c>
      <c r="F168" s="9" t="n">
        <v>70</v>
      </c>
      <c r="G168" s="9" t="n">
        <v>88</v>
      </c>
      <c r="H168" s="9" t="n">
        <v>120</v>
      </c>
      <c r="I168" s="8" t="s">
        <v>128</v>
      </c>
      <c r="J168" s="9"/>
      <c r="K168" s="10" t="str">
        <f aca="false">IF(AND(ISNUMBER(J168),E168&gt;0),J168/E168-1,"")</f>
        <v/>
      </c>
      <c r="L168" s="11"/>
      <c r="M168" s="12"/>
      <c r="N168" s="13" t="n">
        <f aca="false">IF(L168="Своя ціна",M168,IF(L168="Прийняти",IF(ISNUMBER(J168),J168,E168),E168))</f>
        <v>84</v>
      </c>
      <c r="O168" s="8" t="s">
        <v>497</v>
      </c>
      <c r="P168" s="14" t="s">
        <v>498</v>
      </c>
    </row>
    <row r="169" customFormat="false" ht="64.15" hidden="false" customHeight="false" outlineLevel="0" collapsed="false">
      <c r="A169" s="8" t="s">
        <v>11</v>
      </c>
      <c r="B169" s="8" t="s">
        <v>11</v>
      </c>
      <c r="C169" s="8" t="s">
        <v>499</v>
      </c>
      <c r="D169" s="8" t="s">
        <v>61</v>
      </c>
      <c r="E169" s="9" t="n">
        <v>600</v>
      </c>
      <c r="F169" s="9" t="n">
        <v>450</v>
      </c>
      <c r="G169" s="9" t="n">
        <v>600</v>
      </c>
      <c r="H169" s="9" t="n">
        <v>2000</v>
      </c>
      <c r="I169" s="8" t="s">
        <v>128</v>
      </c>
      <c r="J169" s="9"/>
      <c r="K169" s="10" t="str">
        <f aca="false">IF(AND(ISNUMBER(J169),E169&gt;0),J169/E169-1,"")</f>
        <v/>
      </c>
      <c r="L169" s="11"/>
      <c r="M169" s="12"/>
      <c r="N169" s="13" t="n">
        <f aca="false">IF(L169="Своя ціна",M169,IF(L169="Прийняти",IF(ISNUMBER(J169),J169,E169),E169))</f>
        <v>600</v>
      </c>
      <c r="O169" s="8" t="s">
        <v>500</v>
      </c>
      <c r="P169" s="14" t="s">
        <v>501</v>
      </c>
    </row>
    <row r="170" customFormat="false" ht="85.05" hidden="false" customHeight="false" outlineLevel="0" collapsed="false">
      <c r="A170" s="8" t="s">
        <v>11</v>
      </c>
      <c r="B170" s="8" t="s">
        <v>11</v>
      </c>
      <c r="C170" s="8" t="s">
        <v>502</v>
      </c>
      <c r="D170" s="8" t="s">
        <v>41</v>
      </c>
      <c r="E170" s="9" t="n">
        <v>450</v>
      </c>
      <c r="F170" s="9" t="n">
        <v>250</v>
      </c>
      <c r="G170" s="9" t="n">
        <v>500</v>
      </c>
      <c r="H170" s="9" t="n">
        <v>650</v>
      </c>
      <c r="I170" s="8" t="s">
        <v>128</v>
      </c>
      <c r="J170" s="9"/>
      <c r="K170" s="10" t="str">
        <f aca="false">IF(AND(ISNUMBER(J170),E170&gt;0),J170/E170-1,"")</f>
        <v/>
      </c>
      <c r="L170" s="11"/>
      <c r="M170" s="12"/>
      <c r="N170" s="13" t="n">
        <f aca="false">IF(L170="Своя ціна",M170,IF(L170="Прийняти",IF(ISNUMBER(J170),J170,E170),E170))</f>
        <v>450</v>
      </c>
      <c r="O170" s="8" t="s">
        <v>457</v>
      </c>
      <c r="P170" s="14" t="s">
        <v>503</v>
      </c>
    </row>
    <row r="171" customFormat="false" ht="126.85" hidden="false" customHeight="false" outlineLevel="0" collapsed="false">
      <c r="A171" s="8" t="s">
        <v>11</v>
      </c>
      <c r="B171" s="8" t="s">
        <v>11</v>
      </c>
      <c r="C171" s="8" t="s">
        <v>504</v>
      </c>
      <c r="D171" s="8" t="s">
        <v>61</v>
      </c>
      <c r="E171" s="9" t="n">
        <v>220</v>
      </c>
      <c r="F171" s="9" t="n">
        <v>120</v>
      </c>
      <c r="G171" s="9" t="n">
        <v>220</v>
      </c>
      <c r="H171" s="9" t="n">
        <v>550</v>
      </c>
      <c r="I171" s="8" t="s">
        <v>128</v>
      </c>
      <c r="J171" s="9"/>
      <c r="K171" s="10" t="str">
        <f aca="false">IF(AND(ISNUMBER(J171),E171&gt;0),J171/E171-1,"")</f>
        <v/>
      </c>
      <c r="L171" s="11"/>
      <c r="M171" s="12"/>
      <c r="N171" s="13" t="n">
        <f aca="false">IF(L171="Своя ціна",M171,IF(L171="Прийняти",IF(ISNUMBER(J171),J171,E171),E171))</f>
        <v>220</v>
      </c>
      <c r="O171" s="8" t="s">
        <v>505</v>
      </c>
      <c r="P171" s="14" t="s">
        <v>506</v>
      </c>
    </row>
    <row r="172" customFormat="false" ht="74.6" hidden="false" customHeight="false" outlineLevel="0" collapsed="false">
      <c r="A172" s="8" t="s">
        <v>11</v>
      </c>
      <c r="B172" s="8" t="s">
        <v>11</v>
      </c>
      <c r="C172" s="8" t="s">
        <v>507</v>
      </c>
      <c r="D172" s="8" t="s">
        <v>61</v>
      </c>
      <c r="E172" s="9" t="n">
        <v>500</v>
      </c>
      <c r="F172" s="9" t="n">
        <v>270</v>
      </c>
      <c r="G172" s="9" t="n">
        <v>520</v>
      </c>
      <c r="H172" s="9" t="n">
        <v>750</v>
      </c>
      <c r="I172" s="8" t="s">
        <v>128</v>
      </c>
      <c r="J172" s="9"/>
      <c r="K172" s="10" t="str">
        <f aca="false">IF(AND(ISNUMBER(J172),E172&gt;0),J172/E172-1,"")</f>
        <v/>
      </c>
      <c r="L172" s="11"/>
      <c r="M172" s="12"/>
      <c r="N172" s="13" t="n">
        <f aca="false">IF(L172="Своя ціна",M172,IF(L172="Прийняти",IF(ISNUMBER(J172),J172,E172),E172))</f>
        <v>500</v>
      </c>
      <c r="O172" s="8" t="s">
        <v>457</v>
      </c>
      <c r="P172" s="14" t="s">
        <v>508</v>
      </c>
    </row>
    <row r="173" customFormat="false" ht="74.6" hidden="false" customHeight="false" outlineLevel="0" collapsed="false">
      <c r="A173" s="8" t="s">
        <v>11</v>
      </c>
      <c r="B173" s="8" t="s">
        <v>11</v>
      </c>
      <c r="C173" s="8" t="s">
        <v>509</v>
      </c>
      <c r="D173" s="8" t="s">
        <v>61</v>
      </c>
      <c r="E173" s="9" t="n">
        <v>200</v>
      </c>
      <c r="F173" s="9" t="n">
        <v>140</v>
      </c>
      <c r="G173" s="9" t="n">
        <v>250</v>
      </c>
      <c r="H173" s="9" t="n">
        <v>300</v>
      </c>
      <c r="I173" s="8" t="s">
        <v>128</v>
      </c>
      <c r="J173" s="9"/>
      <c r="K173" s="10" t="str">
        <f aca="false">IF(AND(ISNUMBER(J173),E173&gt;0),J173/E173-1,"")</f>
        <v/>
      </c>
      <c r="L173" s="11"/>
      <c r="M173" s="12"/>
      <c r="N173" s="13" t="n">
        <f aca="false">IF(L173="Своя ціна",M173,IF(L173="Прийняти",IF(ISNUMBER(J173),J173,E173),E173))</f>
        <v>200</v>
      </c>
      <c r="O173" s="8" t="s">
        <v>457</v>
      </c>
      <c r="P173" s="14" t="s">
        <v>510</v>
      </c>
    </row>
    <row r="174" customFormat="false" ht="95.5" hidden="false" customHeight="false" outlineLevel="0" collapsed="false">
      <c r="A174" s="8" t="s">
        <v>11</v>
      </c>
      <c r="B174" s="8" t="s">
        <v>11</v>
      </c>
      <c r="C174" s="8" t="s">
        <v>511</v>
      </c>
      <c r="D174" s="8" t="s">
        <v>61</v>
      </c>
      <c r="E174" s="9" t="n">
        <v>520</v>
      </c>
      <c r="F174" s="9" t="n">
        <v>300</v>
      </c>
      <c r="G174" s="9" t="n">
        <v>650</v>
      </c>
      <c r="H174" s="9" t="n">
        <v>900</v>
      </c>
      <c r="I174" s="8" t="s">
        <v>128</v>
      </c>
      <c r="J174" s="9"/>
      <c r="K174" s="10" t="str">
        <f aca="false">IF(AND(ISNUMBER(J174),E174&gt;0),J174/E174-1,"")</f>
        <v/>
      </c>
      <c r="L174" s="11"/>
      <c r="M174" s="12"/>
      <c r="N174" s="13" t="n">
        <f aca="false">IF(L174="Своя ціна",M174,IF(L174="Прийняти",IF(ISNUMBER(J174),J174,E174),E174))</f>
        <v>520</v>
      </c>
      <c r="O174" s="8" t="s">
        <v>512</v>
      </c>
      <c r="P174" s="14" t="s">
        <v>513</v>
      </c>
    </row>
    <row r="175" customFormat="false" ht="105.95" hidden="false" customHeight="false" outlineLevel="0" collapsed="false">
      <c r="A175" s="8" t="s">
        <v>11</v>
      </c>
      <c r="B175" s="8" t="s">
        <v>11</v>
      </c>
      <c r="C175" s="8" t="s">
        <v>514</v>
      </c>
      <c r="D175" s="8" t="s">
        <v>61</v>
      </c>
      <c r="E175" s="9" t="n">
        <v>1500</v>
      </c>
      <c r="F175" s="9" t="n">
        <v>650</v>
      </c>
      <c r="G175" s="9" t="n">
        <v>1250</v>
      </c>
      <c r="H175" s="9" t="n">
        <v>1800</v>
      </c>
      <c r="I175" s="8" t="s">
        <v>128</v>
      </c>
      <c r="J175" s="9"/>
      <c r="K175" s="10" t="str">
        <f aca="false">IF(AND(ISNUMBER(J175),E175&gt;0),J175/E175-1,"")</f>
        <v/>
      </c>
      <c r="L175" s="11"/>
      <c r="M175" s="12"/>
      <c r="N175" s="13" t="n">
        <f aca="false">IF(L175="Своя ціна",M175,IF(L175="Прийняти",IF(ISNUMBER(J175),J175,E175),E175))</f>
        <v>1500</v>
      </c>
      <c r="O175" s="8" t="s">
        <v>515</v>
      </c>
      <c r="P175" s="14" t="s">
        <v>516</v>
      </c>
    </row>
    <row r="176" customFormat="false" ht="126.85" hidden="false" customHeight="false" outlineLevel="0" collapsed="false">
      <c r="A176" s="8" t="s">
        <v>11</v>
      </c>
      <c r="B176" s="8" t="s">
        <v>11</v>
      </c>
      <c r="C176" s="8" t="s">
        <v>517</v>
      </c>
      <c r="D176" s="8" t="s">
        <v>61</v>
      </c>
      <c r="E176" s="9" t="n">
        <v>140</v>
      </c>
      <c r="F176" s="9" t="n">
        <v>80</v>
      </c>
      <c r="G176" s="9" t="n">
        <v>140</v>
      </c>
      <c r="H176" s="9" t="n">
        <v>300</v>
      </c>
      <c r="I176" s="8" t="s">
        <v>128</v>
      </c>
      <c r="J176" s="9"/>
      <c r="K176" s="10" t="str">
        <f aca="false">IF(AND(ISNUMBER(J176),E176&gt;0),J176/E176-1,"")</f>
        <v/>
      </c>
      <c r="L176" s="11"/>
      <c r="M176" s="12"/>
      <c r="N176" s="13" t="n">
        <f aca="false">IF(L176="Своя ціна",M176,IF(L176="Прийняти",IF(ISNUMBER(J176),J176,E176),E176))</f>
        <v>140</v>
      </c>
      <c r="O176" s="8" t="s">
        <v>505</v>
      </c>
      <c r="P176" s="14" t="s">
        <v>518</v>
      </c>
    </row>
    <row r="177" customFormat="false" ht="116.4" hidden="false" customHeight="false" outlineLevel="0" collapsed="false">
      <c r="A177" s="8" t="s">
        <v>11</v>
      </c>
      <c r="B177" s="8" t="s">
        <v>11</v>
      </c>
      <c r="C177" s="8" t="s">
        <v>519</v>
      </c>
      <c r="D177" s="8" t="s">
        <v>61</v>
      </c>
      <c r="E177" s="9" t="n">
        <v>250</v>
      </c>
      <c r="F177" s="9" t="n">
        <v>150</v>
      </c>
      <c r="G177" s="9" t="n">
        <v>260</v>
      </c>
      <c r="H177" s="9" t="n">
        <v>450</v>
      </c>
      <c r="I177" s="8" t="s">
        <v>128</v>
      </c>
      <c r="J177" s="9"/>
      <c r="K177" s="10" t="str">
        <f aca="false">IF(AND(ISNUMBER(J177),E177&gt;0),J177/E177-1,"")</f>
        <v/>
      </c>
      <c r="L177" s="11"/>
      <c r="M177" s="12"/>
      <c r="N177" s="13" t="n">
        <f aca="false">IF(L177="Своя ціна",M177,IF(L177="Прийняти",IF(ISNUMBER(J177),J177,E177),E177))</f>
        <v>250</v>
      </c>
      <c r="O177" s="8" t="s">
        <v>470</v>
      </c>
      <c r="P177" s="14" t="s">
        <v>520</v>
      </c>
    </row>
    <row r="178" customFormat="false" ht="74.6" hidden="false" customHeight="false" outlineLevel="0" collapsed="false">
      <c r="A178" s="8" t="s">
        <v>11</v>
      </c>
      <c r="B178" s="8" t="s">
        <v>11</v>
      </c>
      <c r="C178" s="8" t="s">
        <v>521</v>
      </c>
      <c r="D178" s="8" t="s">
        <v>61</v>
      </c>
      <c r="E178" s="9" t="n">
        <v>250</v>
      </c>
      <c r="F178" s="9" t="n">
        <v>140</v>
      </c>
      <c r="G178" s="9" t="n">
        <v>205</v>
      </c>
      <c r="H178" s="9" t="n">
        <v>260</v>
      </c>
      <c r="I178" s="8" t="s">
        <v>128</v>
      </c>
      <c r="J178" s="9"/>
      <c r="K178" s="10" t="str">
        <f aca="false">IF(AND(ISNUMBER(J178),E178&gt;0),J178/E178-1,"")</f>
        <v/>
      </c>
      <c r="L178" s="11"/>
      <c r="M178" s="12"/>
      <c r="N178" s="13" t="n">
        <f aca="false">IF(L178="Своя ціна",M178,IF(L178="Прийняти",IF(ISNUMBER(J178),J178,E178),E178))</f>
        <v>250</v>
      </c>
      <c r="O178" s="8" t="s">
        <v>522</v>
      </c>
      <c r="P178" s="14" t="s">
        <v>523</v>
      </c>
    </row>
    <row r="179" customFormat="false" ht="95.5" hidden="false" customHeight="false" outlineLevel="0" collapsed="false">
      <c r="A179" s="8" t="s">
        <v>11</v>
      </c>
      <c r="B179" s="8" t="s">
        <v>11</v>
      </c>
      <c r="C179" s="8" t="s">
        <v>524</v>
      </c>
      <c r="D179" s="8" t="s">
        <v>49</v>
      </c>
      <c r="E179" s="9" t="n">
        <v>130</v>
      </c>
      <c r="F179" s="9" t="n">
        <v>80</v>
      </c>
      <c r="G179" s="9" t="n">
        <v>130</v>
      </c>
      <c r="H179" s="9" t="n">
        <v>250</v>
      </c>
      <c r="I179" s="8" t="s">
        <v>128</v>
      </c>
      <c r="J179" s="9"/>
      <c r="K179" s="10" t="str">
        <f aca="false">IF(AND(ISNUMBER(J179),E179&gt;0),J179/E179-1,"")</f>
        <v/>
      </c>
      <c r="L179" s="11"/>
      <c r="M179" s="12"/>
      <c r="N179" s="13" t="n">
        <f aca="false">IF(L179="Своя ціна",M179,IF(L179="Прийняти",IF(ISNUMBER(J179),J179,E179),E179))</f>
        <v>130</v>
      </c>
      <c r="O179" s="8" t="s">
        <v>525</v>
      </c>
      <c r="P179" s="14" t="s">
        <v>526</v>
      </c>
    </row>
    <row r="180" customFormat="false" ht="74.6" hidden="false" customHeight="false" outlineLevel="0" collapsed="false">
      <c r="A180" s="8" t="s">
        <v>12</v>
      </c>
      <c r="B180" s="8" t="s">
        <v>12</v>
      </c>
      <c r="C180" s="8" t="s">
        <v>527</v>
      </c>
      <c r="D180" s="8" t="s">
        <v>61</v>
      </c>
      <c r="E180" s="9" t="n">
        <v>350</v>
      </c>
      <c r="F180" s="9" t="n">
        <v>200</v>
      </c>
      <c r="G180" s="9" t="n">
        <v>450</v>
      </c>
      <c r="H180" s="9" t="n">
        <v>500</v>
      </c>
      <c r="I180" s="8" t="s">
        <v>42</v>
      </c>
      <c r="J180" s="9" t="n">
        <v>450</v>
      </c>
      <c r="K180" s="10" t="n">
        <f aca="false">IF(AND(ISNUMBER(J180),E180&gt;0),J180/E180-1,"")</f>
        <v>0.285714285714286</v>
      </c>
      <c r="L180" s="11"/>
      <c r="M180" s="12"/>
      <c r="N180" s="13" t="n">
        <f aca="false">IF(L180="Своя ціна",M180,IF(L180="Прийняти",IF(ISNUMBER(J180),J180,E180),E180))</f>
        <v>350</v>
      </c>
      <c r="O180" s="8"/>
      <c r="P180" s="14" t="s">
        <v>528</v>
      </c>
    </row>
    <row r="181" customFormat="false" ht="53.7" hidden="false" customHeight="false" outlineLevel="0" collapsed="false">
      <c r="A181" s="8" t="s">
        <v>12</v>
      </c>
      <c r="B181" s="8" t="s">
        <v>12</v>
      </c>
      <c r="C181" s="8" t="s">
        <v>529</v>
      </c>
      <c r="D181" s="8" t="s">
        <v>61</v>
      </c>
      <c r="E181" s="9" t="n">
        <v>200</v>
      </c>
      <c r="F181" s="9" t="n">
        <v>200</v>
      </c>
      <c r="G181" s="9" t="n">
        <v>330</v>
      </c>
      <c r="H181" s="9" t="n">
        <v>480</v>
      </c>
      <c r="I181" s="8" t="s">
        <v>42</v>
      </c>
      <c r="J181" s="9" t="n">
        <v>320</v>
      </c>
      <c r="K181" s="10" t="n">
        <f aca="false">IF(AND(ISNUMBER(J181),E181&gt;0),J181/E181-1,"")</f>
        <v>0.6</v>
      </c>
      <c r="L181" s="11"/>
      <c r="M181" s="12"/>
      <c r="N181" s="13" t="n">
        <f aca="false">IF(L181="Своя ціна",M181,IF(L181="Прийняти",IF(ISNUMBER(J181),J181,E181),E181))</f>
        <v>200</v>
      </c>
      <c r="O181" s="8" t="s">
        <v>530</v>
      </c>
      <c r="P181" s="14" t="s">
        <v>531</v>
      </c>
    </row>
    <row r="182" customFormat="false" ht="64.15" hidden="false" customHeight="false" outlineLevel="0" collapsed="false">
      <c r="A182" s="8" t="s">
        <v>12</v>
      </c>
      <c r="B182" s="8" t="s">
        <v>12</v>
      </c>
      <c r="C182" s="8" t="s">
        <v>532</v>
      </c>
      <c r="D182" s="8" t="s">
        <v>61</v>
      </c>
      <c r="E182" s="9" t="n">
        <v>350</v>
      </c>
      <c r="F182" s="9" t="n">
        <v>280</v>
      </c>
      <c r="G182" s="9" t="n">
        <v>450</v>
      </c>
      <c r="H182" s="9" t="n">
        <v>700</v>
      </c>
      <c r="I182" s="8" t="s">
        <v>42</v>
      </c>
      <c r="J182" s="9" t="n">
        <v>450</v>
      </c>
      <c r="K182" s="10" t="n">
        <f aca="false">IF(AND(ISNUMBER(J182),E182&gt;0),J182/E182-1,"")</f>
        <v>0.285714285714286</v>
      </c>
      <c r="L182" s="11"/>
      <c r="M182" s="12"/>
      <c r="N182" s="13" t="n">
        <f aca="false">IF(L182="Своя ціна",M182,IF(L182="Прийняти",IF(ISNUMBER(J182),J182,E182),E182))</f>
        <v>350</v>
      </c>
      <c r="O182" s="8"/>
      <c r="P182" s="14" t="s">
        <v>533</v>
      </c>
    </row>
    <row r="183" customFormat="false" ht="32.8" hidden="false" customHeight="false" outlineLevel="0" collapsed="false">
      <c r="A183" s="8" t="s">
        <v>12</v>
      </c>
      <c r="B183" s="8" t="s">
        <v>12</v>
      </c>
      <c r="C183" s="8" t="s">
        <v>534</v>
      </c>
      <c r="D183" s="8" t="s">
        <v>61</v>
      </c>
      <c r="E183" s="9" t="n">
        <v>5190</v>
      </c>
      <c r="F183" s="9" t="n">
        <v>5500</v>
      </c>
      <c r="G183" s="9" t="n">
        <v>7400</v>
      </c>
      <c r="H183" s="9" t="n">
        <v>9500</v>
      </c>
      <c r="I183" s="8" t="s">
        <v>42</v>
      </c>
      <c r="J183" s="9" t="n">
        <v>7000</v>
      </c>
      <c r="K183" s="10" t="n">
        <f aca="false">IF(AND(ISNUMBER(J183),E183&gt;0),J183/E183-1,"")</f>
        <v>0.348747591522158</v>
      </c>
      <c r="L183" s="11"/>
      <c r="M183" s="12"/>
      <c r="N183" s="13" t="n">
        <f aca="false">IF(L183="Своя ціна",M183,IF(L183="Прийняти",IF(ISNUMBER(J183),J183,E183),E183))</f>
        <v>5190</v>
      </c>
      <c r="O183" s="8" t="s">
        <v>535</v>
      </c>
      <c r="P183" s="14" t="s">
        <v>536</v>
      </c>
    </row>
    <row r="184" customFormat="false" ht="22.35" hidden="false" customHeight="false" outlineLevel="0" collapsed="false">
      <c r="A184" s="8" t="s">
        <v>12</v>
      </c>
      <c r="B184" s="8" t="s">
        <v>12</v>
      </c>
      <c r="C184" s="8" t="s">
        <v>537</v>
      </c>
      <c r="D184" s="8" t="s">
        <v>61</v>
      </c>
      <c r="E184" s="9" t="n">
        <v>1450</v>
      </c>
      <c r="F184" s="9" t="n">
        <v>1450</v>
      </c>
      <c r="G184" s="9" t="n">
        <v>1950</v>
      </c>
      <c r="H184" s="9" t="n">
        <v>2500</v>
      </c>
      <c r="I184" s="8" t="s">
        <v>42</v>
      </c>
      <c r="J184" s="9" t="n">
        <v>1900</v>
      </c>
      <c r="K184" s="10" t="n">
        <f aca="false">IF(AND(ISNUMBER(J184),E184&gt;0),J184/E184-1,"")</f>
        <v>0.310344827586207</v>
      </c>
      <c r="L184" s="11"/>
      <c r="M184" s="12"/>
      <c r="N184" s="13" t="n">
        <f aca="false">IF(L184="Своя ціна",M184,IF(L184="Прийняти",IF(ISNUMBER(J184),J184,E184),E184))</f>
        <v>1450</v>
      </c>
      <c r="O184" s="8" t="s">
        <v>530</v>
      </c>
      <c r="P184" s="14" t="s">
        <v>538</v>
      </c>
    </row>
    <row r="185" customFormat="false" ht="53.7" hidden="false" customHeight="false" outlineLevel="0" collapsed="false">
      <c r="A185" s="8" t="s">
        <v>12</v>
      </c>
      <c r="B185" s="8" t="s">
        <v>12</v>
      </c>
      <c r="C185" s="8" t="s">
        <v>539</v>
      </c>
      <c r="D185" s="8" t="s">
        <v>61</v>
      </c>
      <c r="E185" s="9" t="n">
        <v>1300</v>
      </c>
      <c r="F185" s="9" t="n">
        <v>1300</v>
      </c>
      <c r="G185" s="9" t="n">
        <v>1800</v>
      </c>
      <c r="H185" s="9" t="n">
        <v>2500</v>
      </c>
      <c r="I185" s="8" t="s">
        <v>42</v>
      </c>
      <c r="J185" s="9" t="n">
        <v>1800</v>
      </c>
      <c r="K185" s="10" t="n">
        <f aca="false">IF(AND(ISNUMBER(J185),E185&gt;0),J185/E185-1,"")</f>
        <v>0.384615384615385</v>
      </c>
      <c r="L185" s="11"/>
      <c r="M185" s="12"/>
      <c r="N185" s="13" t="n">
        <f aca="false">IF(L185="Своя ціна",M185,IF(L185="Прийняти",IF(ISNUMBER(J185),J185,E185),E185))</f>
        <v>1300</v>
      </c>
      <c r="O185" s="8" t="s">
        <v>540</v>
      </c>
      <c r="P185" s="14" t="s">
        <v>541</v>
      </c>
    </row>
    <row r="186" customFormat="false" ht="64.15" hidden="false" customHeight="false" outlineLevel="0" collapsed="false">
      <c r="A186" s="8" t="s">
        <v>12</v>
      </c>
      <c r="B186" s="8" t="s">
        <v>12</v>
      </c>
      <c r="C186" s="8" t="s">
        <v>542</v>
      </c>
      <c r="D186" s="8" t="s">
        <v>61</v>
      </c>
      <c r="E186" s="9" t="n">
        <v>1200</v>
      </c>
      <c r="F186" s="9" t="n">
        <v>1200</v>
      </c>
      <c r="G186" s="9" t="n">
        <v>1600</v>
      </c>
      <c r="H186" s="9" t="n">
        <v>3000</v>
      </c>
      <c r="I186" s="8" t="s">
        <v>42</v>
      </c>
      <c r="J186" s="9" t="n">
        <v>1600</v>
      </c>
      <c r="K186" s="10" t="n">
        <f aca="false">IF(AND(ISNUMBER(J186),E186&gt;0),J186/E186-1,"")</f>
        <v>0.333333333333333</v>
      </c>
      <c r="L186" s="11"/>
      <c r="M186" s="12"/>
      <c r="N186" s="13" t="n">
        <f aca="false">IF(L186="Своя ціна",M186,IF(L186="Прийняти",IF(ISNUMBER(J186),J186,E186),E186))</f>
        <v>1200</v>
      </c>
      <c r="O186" s="8"/>
      <c r="P186" s="14" t="s">
        <v>543</v>
      </c>
    </row>
    <row r="187" customFormat="false" ht="74.6" hidden="false" customHeight="false" outlineLevel="0" collapsed="false">
      <c r="A187" s="8" t="s">
        <v>12</v>
      </c>
      <c r="B187" s="8" t="s">
        <v>12</v>
      </c>
      <c r="C187" s="8" t="s">
        <v>544</v>
      </c>
      <c r="D187" s="8" t="s">
        <v>466</v>
      </c>
      <c r="E187" s="9" t="n">
        <v>1300</v>
      </c>
      <c r="F187" s="9" t="n">
        <v>1500</v>
      </c>
      <c r="G187" s="9" t="n">
        <v>2300</v>
      </c>
      <c r="H187" s="9" t="n">
        <v>3300</v>
      </c>
      <c r="I187" s="8" t="s">
        <v>42</v>
      </c>
      <c r="J187" s="9" t="n">
        <v>2000</v>
      </c>
      <c r="K187" s="10" t="n">
        <f aca="false">IF(AND(ISNUMBER(J187),E187&gt;0),J187/E187-1,"")</f>
        <v>0.538461538461539</v>
      </c>
      <c r="L187" s="11"/>
      <c r="M187" s="12"/>
      <c r="N187" s="13" t="n">
        <f aca="false">IF(L187="Своя ціна",M187,IF(L187="Прийняти",IF(ISNUMBER(J187),J187,E187),E187))</f>
        <v>1300</v>
      </c>
      <c r="O187" s="8" t="s">
        <v>545</v>
      </c>
      <c r="P187" s="14" t="s">
        <v>546</v>
      </c>
    </row>
    <row r="188" customFormat="false" ht="64.15" hidden="false" customHeight="false" outlineLevel="0" collapsed="false">
      <c r="A188" s="8" t="s">
        <v>12</v>
      </c>
      <c r="B188" s="8" t="s">
        <v>12</v>
      </c>
      <c r="C188" s="8" t="s">
        <v>547</v>
      </c>
      <c r="D188" s="8" t="s">
        <v>466</v>
      </c>
      <c r="E188" s="9" t="n">
        <v>1281</v>
      </c>
      <c r="F188" s="9" t="n">
        <v>1500</v>
      </c>
      <c r="G188" s="9" t="n">
        <v>2200</v>
      </c>
      <c r="H188" s="9" t="n">
        <v>3300</v>
      </c>
      <c r="I188" s="8" t="s">
        <v>42</v>
      </c>
      <c r="J188" s="9" t="n">
        <v>2000</v>
      </c>
      <c r="K188" s="10" t="n">
        <f aca="false">IF(AND(ISNUMBER(J188),E188&gt;0),J188/E188-1,"")</f>
        <v>0.56128024980484</v>
      </c>
      <c r="L188" s="11"/>
      <c r="M188" s="12"/>
      <c r="N188" s="13" t="n">
        <f aca="false">IF(L188="Своя ціна",M188,IF(L188="Прийняти",IF(ISNUMBER(J188),J188,E188),E188))</f>
        <v>1281</v>
      </c>
      <c r="O188" s="8" t="s">
        <v>548</v>
      </c>
      <c r="P188" s="14" t="s">
        <v>549</v>
      </c>
    </row>
    <row r="189" customFormat="false" ht="64.15" hidden="false" customHeight="false" outlineLevel="0" collapsed="false">
      <c r="A189" s="8" t="s">
        <v>12</v>
      </c>
      <c r="B189" s="8" t="s">
        <v>12</v>
      </c>
      <c r="C189" s="8" t="s">
        <v>550</v>
      </c>
      <c r="D189" s="8" t="s">
        <v>61</v>
      </c>
      <c r="E189" s="9" t="n">
        <v>20000</v>
      </c>
      <c r="F189" s="9" t="n">
        <v>30000</v>
      </c>
      <c r="G189" s="9" t="n">
        <v>60000</v>
      </c>
      <c r="H189" s="9" t="n">
        <v>80000</v>
      </c>
      <c r="I189" s="8" t="s">
        <v>42</v>
      </c>
      <c r="J189" s="9" t="n">
        <v>35000</v>
      </c>
      <c r="K189" s="10" t="n">
        <f aca="false">IF(AND(ISNUMBER(J189),E189&gt;0),J189/E189-1,"")</f>
        <v>0.75</v>
      </c>
      <c r="L189" s="11"/>
      <c r="M189" s="12"/>
      <c r="N189" s="13" t="n">
        <f aca="false">IF(L189="Своя ціна",M189,IF(L189="Прийняти",IF(ISNUMBER(J189),J189,E189),E189))</f>
        <v>20000</v>
      </c>
      <c r="O189" s="8" t="s">
        <v>551</v>
      </c>
      <c r="P189" s="14" t="s">
        <v>552</v>
      </c>
    </row>
    <row r="190" customFormat="false" ht="64.15" hidden="false" customHeight="false" outlineLevel="0" collapsed="false">
      <c r="A190" s="8" t="s">
        <v>12</v>
      </c>
      <c r="B190" s="8" t="s">
        <v>12</v>
      </c>
      <c r="C190" s="8" t="s">
        <v>553</v>
      </c>
      <c r="D190" s="8" t="s">
        <v>61</v>
      </c>
      <c r="E190" s="9" t="n">
        <v>300</v>
      </c>
      <c r="F190" s="9" t="n">
        <v>250</v>
      </c>
      <c r="G190" s="9" t="n">
        <v>400</v>
      </c>
      <c r="H190" s="9" t="n">
        <v>550</v>
      </c>
      <c r="I190" s="8" t="s">
        <v>42</v>
      </c>
      <c r="J190" s="9" t="n">
        <v>400</v>
      </c>
      <c r="K190" s="10" t="n">
        <f aca="false">IF(AND(ISNUMBER(J190),E190&gt;0),J190/E190-1,"")</f>
        <v>0.333333333333333</v>
      </c>
      <c r="L190" s="11"/>
      <c r="M190" s="12"/>
      <c r="N190" s="13" t="n">
        <f aca="false">IF(L190="Своя ціна",M190,IF(L190="Прийняти",IF(ISNUMBER(J190),J190,E190),E190))</f>
        <v>300</v>
      </c>
      <c r="O190" s="8"/>
      <c r="P190" s="14" t="s">
        <v>554</v>
      </c>
    </row>
    <row r="191" customFormat="false" ht="74.6" hidden="false" customHeight="false" outlineLevel="0" collapsed="false">
      <c r="A191" s="8" t="s">
        <v>12</v>
      </c>
      <c r="B191" s="8" t="s">
        <v>12</v>
      </c>
      <c r="C191" s="8" t="s">
        <v>555</v>
      </c>
      <c r="D191" s="8" t="s">
        <v>61</v>
      </c>
      <c r="E191" s="9" t="n">
        <v>900</v>
      </c>
      <c r="F191" s="9" t="n">
        <v>900</v>
      </c>
      <c r="G191" s="9" t="n">
        <v>1250</v>
      </c>
      <c r="H191" s="9" t="n">
        <v>2000</v>
      </c>
      <c r="I191" s="8" t="s">
        <v>42</v>
      </c>
      <c r="J191" s="9" t="n">
        <v>1250</v>
      </c>
      <c r="K191" s="10" t="n">
        <f aca="false">IF(AND(ISNUMBER(J191),E191&gt;0),J191/E191-1,"")</f>
        <v>0.388888888888889</v>
      </c>
      <c r="L191" s="11"/>
      <c r="M191" s="12"/>
      <c r="N191" s="13" t="n">
        <f aca="false">IF(L191="Своя ціна",M191,IF(L191="Прийняти",IF(ISNUMBER(J191),J191,E191),E191))</f>
        <v>900</v>
      </c>
      <c r="O191" s="8" t="s">
        <v>530</v>
      </c>
      <c r="P191" s="14" t="s">
        <v>556</v>
      </c>
    </row>
    <row r="192" customFormat="false" ht="74.6" hidden="false" customHeight="false" outlineLevel="0" collapsed="false">
      <c r="A192" s="8" t="s">
        <v>12</v>
      </c>
      <c r="B192" s="8" t="s">
        <v>12</v>
      </c>
      <c r="C192" s="8" t="s">
        <v>557</v>
      </c>
      <c r="D192" s="8" t="s">
        <v>61</v>
      </c>
      <c r="E192" s="9" t="n">
        <v>620</v>
      </c>
      <c r="F192" s="9" t="n">
        <v>600</v>
      </c>
      <c r="G192" s="9" t="n">
        <v>1100</v>
      </c>
      <c r="H192" s="9" t="n">
        <v>2200</v>
      </c>
      <c r="I192" s="8" t="s">
        <v>42</v>
      </c>
      <c r="J192" s="9" t="n">
        <v>1000</v>
      </c>
      <c r="K192" s="10" t="n">
        <f aca="false">IF(AND(ISNUMBER(J192),E192&gt;0),J192/E192-1,"")</f>
        <v>0.612903225806452</v>
      </c>
      <c r="L192" s="11"/>
      <c r="M192" s="12"/>
      <c r="N192" s="13" t="n">
        <f aca="false">IF(L192="Своя ціна",M192,IF(L192="Прийняти",IF(ISNUMBER(J192),J192,E192),E192))</f>
        <v>620</v>
      </c>
      <c r="O192" s="8" t="s">
        <v>558</v>
      </c>
      <c r="P192" s="14" t="s">
        <v>559</v>
      </c>
    </row>
    <row r="193" customFormat="false" ht="22.35" hidden="false" customHeight="false" outlineLevel="0" collapsed="false">
      <c r="A193" s="8" t="s">
        <v>12</v>
      </c>
      <c r="B193" s="8" t="s">
        <v>12</v>
      </c>
      <c r="C193" s="8" t="s">
        <v>560</v>
      </c>
      <c r="D193" s="8" t="s">
        <v>61</v>
      </c>
      <c r="E193" s="9" t="n">
        <v>1203</v>
      </c>
      <c r="F193" s="9" t="n">
        <v>950</v>
      </c>
      <c r="G193" s="9" t="n">
        <v>1550</v>
      </c>
      <c r="H193" s="9" t="n">
        <v>2000</v>
      </c>
      <c r="I193" s="8" t="s">
        <v>42</v>
      </c>
      <c r="J193" s="9" t="n">
        <v>1500</v>
      </c>
      <c r="K193" s="10" t="n">
        <f aca="false">IF(AND(ISNUMBER(J193),E193&gt;0),J193/E193-1,"")</f>
        <v>0.246882793017456</v>
      </c>
      <c r="L193" s="11"/>
      <c r="M193" s="12"/>
      <c r="N193" s="13" t="n">
        <f aca="false">IF(L193="Своя ціна",M193,IF(L193="Прийняти",IF(ISNUMBER(J193),J193,E193),E193))</f>
        <v>1203</v>
      </c>
      <c r="O193" s="8"/>
      <c r="P193" s="14" t="s">
        <v>561</v>
      </c>
    </row>
    <row r="194" customFormat="false" ht="43.25" hidden="false" customHeight="false" outlineLevel="0" collapsed="false">
      <c r="A194" s="8" t="s">
        <v>12</v>
      </c>
      <c r="B194" s="8" t="s">
        <v>12</v>
      </c>
      <c r="C194" s="8" t="s">
        <v>562</v>
      </c>
      <c r="D194" s="8" t="s">
        <v>61</v>
      </c>
      <c r="E194" s="9" t="n">
        <v>1700</v>
      </c>
      <c r="F194" s="9" t="n">
        <v>2500</v>
      </c>
      <c r="G194" s="9" t="n">
        <v>3350</v>
      </c>
      <c r="H194" s="9" t="n">
        <v>4500</v>
      </c>
      <c r="I194" s="8" t="s">
        <v>42</v>
      </c>
      <c r="J194" s="9" t="n">
        <v>3000</v>
      </c>
      <c r="K194" s="10" t="n">
        <f aca="false">IF(AND(ISNUMBER(J194),E194&gt;0),J194/E194-1,"")</f>
        <v>0.764705882352941</v>
      </c>
      <c r="L194" s="11"/>
      <c r="M194" s="12"/>
      <c r="N194" s="13" t="n">
        <f aca="false">IF(L194="Своя ціна",M194,IF(L194="Прийняти",IF(ISNUMBER(J194),J194,E194),E194))</f>
        <v>1700</v>
      </c>
      <c r="O194" s="8" t="s">
        <v>563</v>
      </c>
      <c r="P194" s="14" t="s">
        <v>564</v>
      </c>
    </row>
    <row r="195" customFormat="false" ht="95.5" hidden="false" customHeight="false" outlineLevel="0" collapsed="false">
      <c r="A195" s="8" t="s">
        <v>12</v>
      </c>
      <c r="B195" s="8" t="s">
        <v>12</v>
      </c>
      <c r="C195" s="8" t="s">
        <v>565</v>
      </c>
      <c r="D195" s="8" t="s">
        <v>61</v>
      </c>
      <c r="E195" s="9" t="n">
        <v>1300</v>
      </c>
      <c r="F195" s="9" t="n">
        <v>1500</v>
      </c>
      <c r="G195" s="9" t="n">
        <v>2200</v>
      </c>
      <c r="H195" s="9" t="n">
        <v>3750</v>
      </c>
      <c r="I195" s="8" t="s">
        <v>42</v>
      </c>
      <c r="J195" s="9" t="n">
        <v>2200</v>
      </c>
      <c r="K195" s="10" t="n">
        <f aca="false">IF(AND(ISNUMBER(J195),E195&gt;0),J195/E195-1,"")</f>
        <v>0.692307692307692</v>
      </c>
      <c r="L195" s="11"/>
      <c r="M195" s="12"/>
      <c r="N195" s="13" t="n">
        <f aca="false">IF(L195="Своя ціна",M195,IF(L195="Прийняти",IF(ISNUMBER(J195),J195,E195),E195))</f>
        <v>1300</v>
      </c>
      <c r="O195" s="8" t="s">
        <v>566</v>
      </c>
      <c r="P195" s="14" t="s">
        <v>567</v>
      </c>
    </row>
    <row r="196" customFormat="false" ht="53.7" hidden="false" customHeight="false" outlineLevel="0" collapsed="false">
      <c r="A196" s="8" t="s">
        <v>12</v>
      </c>
      <c r="B196" s="8" t="s">
        <v>12</v>
      </c>
      <c r="C196" s="8" t="s">
        <v>568</v>
      </c>
      <c r="D196" s="8" t="s">
        <v>61</v>
      </c>
      <c r="E196" s="9" t="n">
        <v>1500</v>
      </c>
      <c r="F196" s="9" t="n">
        <v>1500</v>
      </c>
      <c r="G196" s="9" t="n">
        <v>2200</v>
      </c>
      <c r="H196" s="9" t="n">
        <v>3750</v>
      </c>
      <c r="I196" s="8" t="s">
        <v>42</v>
      </c>
      <c r="J196" s="9" t="n">
        <v>2000</v>
      </c>
      <c r="K196" s="10" t="n">
        <f aca="false">IF(AND(ISNUMBER(J196),E196&gt;0),J196/E196-1,"")</f>
        <v>0.333333333333333</v>
      </c>
      <c r="L196" s="11"/>
      <c r="M196" s="12"/>
      <c r="N196" s="13" t="n">
        <f aca="false">IF(L196="Своя ціна",M196,IF(L196="Прийняти",IF(ISNUMBER(J196),J196,E196),E196))</f>
        <v>1500</v>
      </c>
      <c r="O196" s="8" t="s">
        <v>569</v>
      </c>
      <c r="P196" s="14" t="s">
        <v>570</v>
      </c>
    </row>
    <row r="197" customFormat="false" ht="64.15" hidden="false" customHeight="false" outlineLevel="0" collapsed="false">
      <c r="A197" s="8" t="s">
        <v>12</v>
      </c>
      <c r="B197" s="8" t="s">
        <v>12</v>
      </c>
      <c r="C197" s="8" t="s">
        <v>571</v>
      </c>
      <c r="D197" s="8" t="s">
        <v>61</v>
      </c>
      <c r="E197" s="9" t="n">
        <v>500</v>
      </c>
      <c r="F197" s="9" t="n">
        <v>350</v>
      </c>
      <c r="G197" s="9" t="n">
        <v>800</v>
      </c>
      <c r="H197" s="9" t="n">
        <v>1200</v>
      </c>
      <c r="I197" s="8" t="s">
        <v>42</v>
      </c>
      <c r="J197" s="9" t="n">
        <v>800</v>
      </c>
      <c r="K197" s="10" t="n">
        <f aca="false">IF(AND(ISNUMBER(J197),E197&gt;0),J197/E197-1,"")</f>
        <v>0.6</v>
      </c>
      <c r="L197" s="11"/>
      <c r="M197" s="12"/>
      <c r="N197" s="13" t="n">
        <f aca="false">IF(L197="Своя ціна",M197,IF(L197="Прийняти",IF(ISNUMBER(J197),J197,E197),E197))</f>
        <v>500</v>
      </c>
      <c r="O197" s="8"/>
      <c r="P197" s="14" t="s">
        <v>572</v>
      </c>
    </row>
    <row r="198" customFormat="false" ht="64.15" hidden="false" customHeight="false" outlineLevel="0" collapsed="false">
      <c r="A198" s="8" t="s">
        <v>12</v>
      </c>
      <c r="B198" s="8" t="s">
        <v>12</v>
      </c>
      <c r="C198" s="8" t="s">
        <v>573</v>
      </c>
      <c r="D198" s="8" t="s">
        <v>61</v>
      </c>
      <c r="E198" s="9" t="n">
        <v>1300</v>
      </c>
      <c r="F198" s="9" t="n">
        <v>1650</v>
      </c>
      <c r="G198" s="9" t="n">
        <v>2450</v>
      </c>
      <c r="H198" s="9" t="n">
        <v>3000</v>
      </c>
      <c r="I198" s="8" t="s">
        <v>42</v>
      </c>
      <c r="J198" s="9" t="n">
        <v>2400</v>
      </c>
      <c r="K198" s="10" t="n">
        <f aca="false">IF(AND(ISNUMBER(J198),E198&gt;0),J198/E198-1,"")</f>
        <v>0.846153846153846</v>
      </c>
      <c r="L198" s="11"/>
      <c r="M198" s="12"/>
      <c r="N198" s="13" t="n">
        <f aca="false">IF(L198="Своя ціна",M198,IF(L198="Прийняти",IF(ISNUMBER(J198),J198,E198),E198))</f>
        <v>1300</v>
      </c>
      <c r="O198" s="8" t="s">
        <v>574</v>
      </c>
      <c r="P198" s="14" t="s">
        <v>575</v>
      </c>
    </row>
    <row r="199" customFormat="false" ht="105.95" hidden="false" customHeight="false" outlineLevel="0" collapsed="false">
      <c r="A199" s="8" t="s">
        <v>12</v>
      </c>
      <c r="B199" s="8" t="s">
        <v>12</v>
      </c>
      <c r="C199" s="8" t="s">
        <v>576</v>
      </c>
      <c r="D199" s="8" t="s">
        <v>41</v>
      </c>
      <c r="E199" s="9" t="n">
        <v>200</v>
      </c>
      <c r="F199" s="9" t="n">
        <v>240</v>
      </c>
      <c r="G199" s="9" t="n">
        <v>330</v>
      </c>
      <c r="H199" s="9" t="n">
        <v>520</v>
      </c>
      <c r="I199" s="8" t="s">
        <v>42</v>
      </c>
      <c r="J199" s="9" t="n">
        <v>350</v>
      </c>
      <c r="K199" s="10" t="n">
        <f aca="false">IF(AND(ISNUMBER(J199),E199&gt;0),J199/E199-1,"")</f>
        <v>0.75</v>
      </c>
      <c r="L199" s="11"/>
      <c r="M199" s="12"/>
      <c r="N199" s="13" t="n">
        <f aca="false">IF(L199="Своя ціна",M199,IF(L199="Прийняти",IF(ISNUMBER(J199),J199,E199),E199))</f>
        <v>200</v>
      </c>
      <c r="O199" s="8" t="s">
        <v>577</v>
      </c>
      <c r="P199" s="14" t="s">
        <v>578</v>
      </c>
    </row>
    <row r="200" customFormat="false" ht="105.95" hidden="false" customHeight="false" outlineLevel="0" collapsed="false">
      <c r="A200" s="8" t="s">
        <v>12</v>
      </c>
      <c r="B200" s="8" t="s">
        <v>12</v>
      </c>
      <c r="C200" s="8" t="s">
        <v>579</v>
      </c>
      <c r="D200" s="8" t="s">
        <v>61</v>
      </c>
      <c r="E200" s="9" t="n">
        <v>850</v>
      </c>
      <c r="F200" s="9" t="n">
        <v>1000</v>
      </c>
      <c r="G200" s="9" t="n">
        <v>1600</v>
      </c>
      <c r="H200" s="9" t="n">
        <v>3570</v>
      </c>
      <c r="I200" s="8" t="s">
        <v>42</v>
      </c>
      <c r="J200" s="9" t="n">
        <v>1600</v>
      </c>
      <c r="K200" s="10" t="n">
        <f aca="false">IF(AND(ISNUMBER(J200),E200&gt;0),J200/E200-1,"")</f>
        <v>0.882352941176471</v>
      </c>
      <c r="L200" s="11"/>
      <c r="M200" s="12"/>
      <c r="N200" s="13" t="n">
        <f aca="false">IF(L200="Своя ціна",M200,IF(L200="Прийняти",IF(ISNUMBER(J200),J200,E200),E200))</f>
        <v>850</v>
      </c>
      <c r="O200" s="8" t="s">
        <v>580</v>
      </c>
      <c r="P200" s="14" t="s">
        <v>581</v>
      </c>
    </row>
    <row r="201" customFormat="false" ht="74.6" hidden="false" customHeight="false" outlineLevel="0" collapsed="false">
      <c r="A201" s="8" t="s">
        <v>12</v>
      </c>
      <c r="B201" s="8" t="s">
        <v>12</v>
      </c>
      <c r="C201" s="8" t="s">
        <v>582</v>
      </c>
      <c r="D201" s="8" t="s">
        <v>354</v>
      </c>
      <c r="E201" s="9" t="n">
        <v>400</v>
      </c>
      <c r="F201" s="9" t="n">
        <v>250</v>
      </c>
      <c r="G201" s="9" t="n">
        <v>950</v>
      </c>
      <c r="H201" s="9" t="n">
        <v>1500</v>
      </c>
      <c r="I201" s="8" t="s">
        <v>42</v>
      </c>
      <c r="J201" s="9" t="n">
        <v>900</v>
      </c>
      <c r="K201" s="10" t="n">
        <f aca="false">IF(AND(ISNUMBER(J201),E201&gt;0),J201/E201-1,"")</f>
        <v>1.25</v>
      </c>
      <c r="L201" s="11"/>
      <c r="M201" s="12"/>
      <c r="N201" s="13" t="n">
        <f aca="false">IF(L201="Своя ціна",M201,IF(L201="Прийняти",IF(ISNUMBER(J201),J201,E201),E201))</f>
        <v>400</v>
      </c>
      <c r="O201" s="8" t="s">
        <v>583</v>
      </c>
      <c r="P201" s="14" t="s">
        <v>584</v>
      </c>
    </row>
    <row r="202" customFormat="false" ht="95.5" hidden="false" customHeight="false" outlineLevel="0" collapsed="false">
      <c r="A202" s="8" t="s">
        <v>12</v>
      </c>
      <c r="B202" s="8" t="s">
        <v>12</v>
      </c>
      <c r="C202" s="8" t="s">
        <v>585</v>
      </c>
      <c r="D202" s="8" t="s">
        <v>49</v>
      </c>
      <c r="E202" s="9" t="n">
        <v>100</v>
      </c>
      <c r="F202" s="9" t="n">
        <v>55</v>
      </c>
      <c r="G202" s="9" t="n">
        <v>95</v>
      </c>
      <c r="H202" s="9" t="n">
        <v>150</v>
      </c>
      <c r="I202" s="8" t="s">
        <v>42</v>
      </c>
      <c r="J202" s="9" t="n">
        <v>130</v>
      </c>
      <c r="K202" s="10" t="n">
        <f aca="false">IF(AND(ISNUMBER(J202),E202&gt;0),J202/E202-1,"")</f>
        <v>0.3</v>
      </c>
      <c r="L202" s="11"/>
      <c r="M202" s="12"/>
      <c r="N202" s="13" t="n">
        <f aca="false">IF(L202="Своя ціна",M202,IF(L202="Прийняти",IF(ISNUMBER(J202),J202,E202),E202))</f>
        <v>100</v>
      </c>
      <c r="O202" s="8" t="s">
        <v>586</v>
      </c>
      <c r="P202" s="14" t="s">
        <v>587</v>
      </c>
    </row>
    <row r="203" customFormat="false" ht="64.15" hidden="false" customHeight="false" outlineLevel="0" collapsed="false">
      <c r="A203" s="8" t="s">
        <v>12</v>
      </c>
      <c r="B203" s="8" t="s">
        <v>12</v>
      </c>
      <c r="C203" s="8" t="s">
        <v>588</v>
      </c>
      <c r="D203" s="8" t="s">
        <v>61</v>
      </c>
      <c r="E203" s="9" t="n">
        <v>1200</v>
      </c>
      <c r="F203" s="9" t="n">
        <v>850</v>
      </c>
      <c r="G203" s="9" t="n">
        <v>1500</v>
      </c>
      <c r="H203" s="9" t="n">
        <v>3500</v>
      </c>
      <c r="I203" s="8" t="s">
        <v>42</v>
      </c>
      <c r="J203" s="9" t="n">
        <v>1500</v>
      </c>
      <c r="K203" s="10" t="n">
        <f aca="false">IF(AND(ISNUMBER(J203),E203&gt;0),J203/E203-1,"")</f>
        <v>0.25</v>
      </c>
      <c r="L203" s="11"/>
      <c r="M203" s="12"/>
      <c r="N203" s="13" t="n">
        <f aca="false">IF(L203="Своя ціна",M203,IF(L203="Прийняти",IF(ISNUMBER(J203),J203,E203),E203))</f>
        <v>1200</v>
      </c>
      <c r="O203" s="8"/>
      <c r="P203" s="14" t="s">
        <v>589</v>
      </c>
    </row>
    <row r="204" customFormat="false" ht="85.05" hidden="false" customHeight="false" outlineLevel="0" collapsed="false">
      <c r="A204" s="8" t="s">
        <v>12</v>
      </c>
      <c r="B204" s="8" t="s">
        <v>12</v>
      </c>
      <c r="C204" s="8" t="s">
        <v>590</v>
      </c>
      <c r="D204" s="8" t="s">
        <v>61</v>
      </c>
      <c r="E204" s="9" t="n">
        <v>3000</v>
      </c>
      <c r="F204" s="9" t="n">
        <v>2000</v>
      </c>
      <c r="G204" s="9" t="n">
        <v>3800</v>
      </c>
      <c r="H204" s="9" t="n">
        <v>5500</v>
      </c>
      <c r="I204" s="8" t="s">
        <v>42</v>
      </c>
      <c r="J204" s="9" t="n">
        <v>3500</v>
      </c>
      <c r="K204" s="10" t="n">
        <f aca="false">IF(AND(ISNUMBER(J204),E204&gt;0),J204/E204-1,"")</f>
        <v>0.166666666666667</v>
      </c>
      <c r="L204" s="11"/>
      <c r="M204" s="12"/>
      <c r="N204" s="13" t="n">
        <f aca="false">IF(L204="Своя ціна",M204,IF(L204="Прийняти",IF(ISNUMBER(J204),J204,E204),E204))</f>
        <v>3000</v>
      </c>
      <c r="O204" s="8" t="s">
        <v>591</v>
      </c>
      <c r="P204" s="14" t="s">
        <v>592</v>
      </c>
    </row>
    <row r="205" customFormat="false" ht="53.7" hidden="false" customHeight="false" outlineLevel="0" collapsed="false">
      <c r="A205" s="8" t="s">
        <v>12</v>
      </c>
      <c r="B205" s="8" t="s">
        <v>12</v>
      </c>
      <c r="C205" s="8" t="s">
        <v>593</v>
      </c>
      <c r="D205" s="8" t="s">
        <v>61</v>
      </c>
      <c r="E205" s="9" t="n">
        <v>2500</v>
      </c>
      <c r="F205" s="9" t="n">
        <v>2500</v>
      </c>
      <c r="G205" s="9" t="n">
        <v>4000</v>
      </c>
      <c r="H205" s="9" t="n">
        <v>6700</v>
      </c>
      <c r="I205" s="8" t="s">
        <v>42</v>
      </c>
      <c r="J205" s="9" t="n">
        <v>4000</v>
      </c>
      <c r="K205" s="10" t="n">
        <f aca="false">IF(AND(ISNUMBER(J205),E205&gt;0),J205/E205-1,"")</f>
        <v>0.6</v>
      </c>
      <c r="L205" s="11"/>
      <c r="M205" s="12"/>
      <c r="N205" s="13" t="n">
        <f aca="false">IF(L205="Своя ціна",M205,IF(L205="Прийняти",IF(ISNUMBER(J205),J205,E205),E205))</f>
        <v>2500</v>
      </c>
      <c r="O205" s="8" t="s">
        <v>530</v>
      </c>
      <c r="P205" s="14" t="s">
        <v>594</v>
      </c>
    </row>
    <row r="206" customFormat="false" ht="22.35" hidden="false" customHeight="false" outlineLevel="0" collapsed="false">
      <c r="A206" s="8" t="s">
        <v>12</v>
      </c>
      <c r="B206" s="8" t="s">
        <v>12</v>
      </c>
      <c r="C206" s="8" t="s">
        <v>595</v>
      </c>
      <c r="D206" s="8" t="s">
        <v>61</v>
      </c>
      <c r="E206" s="9" t="n">
        <v>3000</v>
      </c>
      <c r="F206" s="9" t="n">
        <v>3000</v>
      </c>
      <c r="G206" s="9" t="n">
        <v>4600</v>
      </c>
      <c r="H206" s="9" t="n">
        <v>7000</v>
      </c>
      <c r="I206" s="8" t="s">
        <v>42</v>
      </c>
      <c r="J206" s="9" t="n">
        <v>4500</v>
      </c>
      <c r="K206" s="10" t="n">
        <f aca="false">IF(AND(ISNUMBER(J206),E206&gt;0),J206/E206-1,"")</f>
        <v>0.5</v>
      </c>
      <c r="L206" s="11"/>
      <c r="M206" s="12"/>
      <c r="N206" s="13" t="n">
        <f aca="false">IF(L206="Своя ціна",M206,IF(L206="Прийняти",IF(ISNUMBER(J206),J206,E206),E206))</f>
        <v>3000</v>
      </c>
      <c r="O206" s="8" t="s">
        <v>530</v>
      </c>
      <c r="P206" s="14" t="s">
        <v>596</v>
      </c>
    </row>
    <row r="207" customFormat="false" ht="64.15" hidden="false" customHeight="false" outlineLevel="0" collapsed="false">
      <c r="A207" s="8" t="s">
        <v>12</v>
      </c>
      <c r="B207" s="8" t="s">
        <v>12</v>
      </c>
      <c r="C207" s="8" t="s">
        <v>597</v>
      </c>
      <c r="D207" s="8" t="s">
        <v>61</v>
      </c>
      <c r="E207" s="9" t="n">
        <v>3000</v>
      </c>
      <c r="F207" s="9" t="n">
        <v>2500</v>
      </c>
      <c r="G207" s="9" t="n">
        <v>4200</v>
      </c>
      <c r="H207" s="9" t="n">
        <v>6200</v>
      </c>
      <c r="I207" s="8" t="s">
        <v>42</v>
      </c>
      <c r="J207" s="9" t="n">
        <v>4000</v>
      </c>
      <c r="K207" s="10" t="n">
        <f aca="false">IF(AND(ISNUMBER(J207),E207&gt;0),J207/E207-1,"")</f>
        <v>0.333333333333333</v>
      </c>
      <c r="L207" s="11"/>
      <c r="M207" s="12"/>
      <c r="N207" s="13" t="n">
        <f aca="false">IF(L207="Своя ціна",M207,IF(L207="Прийняти",IF(ISNUMBER(J207),J207,E207),E207))</f>
        <v>3000</v>
      </c>
      <c r="O207" s="8" t="s">
        <v>598</v>
      </c>
      <c r="P207" s="14" t="s">
        <v>599</v>
      </c>
    </row>
    <row r="208" customFormat="false" ht="32.8" hidden="false" customHeight="false" outlineLevel="0" collapsed="false">
      <c r="A208" s="8" t="s">
        <v>12</v>
      </c>
      <c r="B208" s="8" t="s">
        <v>12</v>
      </c>
      <c r="C208" s="8" t="s">
        <v>600</v>
      </c>
      <c r="D208" s="8" t="s">
        <v>61</v>
      </c>
      <c r="E208" s="9" t="n">
        <v>3000</v>
      </c>
      <c r="F208" s="9" t="n">
        <v>4700</v>
      </c>
      <c r="G208" s="9" t="n">
        <v>5400</v>
      </c>
      <c r="H208" s="9" t="n">
        <v>7000</v>
      </c>
      <c r="I208" s="8" t="s">
        <v>42</v>
      </c>
      <c r="J208" s="9" t="n">
        <v>5200</v>
      </c>
      <c r="K208" s="10" t="n">
        <f aca="false">IF(AND(ISNUMBER(J208),E208&gt;0),J208/E208-1,"")</f>
        <v>0.733333333333333</v>
      </c>
      <c r="L208" s="11"/>
      <c r="M208" s="12"/>
      <c r="N208" s="13" t="n">
        <f aca="false">IF(L208="Своя ціна",M208,IF(L208="Прийняти",IF(ISNUMBER(J208),J208,E208),E208))</f>
        <v>3000</v>
      </c>
      <c r="O208" s="8" t="s">
        <v>601</v>
      </c>
      <c r="P208" s="14" t="s">
        <v>602</v>
      </c>
    </row>
    <row r="209" customFormat="false" ht="43.25" hidden="false" customHeight="false" outlineLevel="0" collapsed="false">
      <c r="A209" s="8" t="s">
        <v>12</v>
      </c>
      <c r="B209" s="8" t="s">
        <v>12</v>
      </c>
      <c r="C209" s="8" t="s">
        <v>603</v>
      </c>
      <c r="D209" s="8" t="s">
        <v>61</v>
      </c>
      <c r="E209" s="9" t="n">
        <v>10056</v>
      </c>
      <c r="F209" s="9" t="n">
        <v>10200</v>
      </c>
      <c r="G209" s="9" t="n">
        <v>13200</v>
      </c>
      <c r="H209" s="9" t="n">
        <v>20000</v>
      </c>
      <c r="I209" s="8" t="s">
        <v>42</v>
      </c>
      <c r="J209" s="9" t="n">
        <v>13000</v>
      </c>
      <c r="K209" s="10" t="n">
        <f aca="false">IF(AND(ISNUMBER(J209),E209&gt;0),J209/E209-1,"")</f>
        <v>0.292760540970565</v>
      </c>
      <c r="L209" s="11"/>
      <c r="M209" s="12"/>
      <c r="N209" s="13" t="n">
        <f aca="false">IF(L209="Своя ціна",M209,IF(L209="Прийняти",IF(ISNUMBER(J209),J209,E209),E209))</f>
        <v>10056</v>
      </c>
      <c r="O209" s="8" t="s">
        <v>604</v>
      </c>
      <c r="P209" s="14" t="s">
        <v>605</v>
      </c>
    </row>
    <row r="210" customFormat="false" ht="53.7" hidden="false" customHeight="false" outlineLevel="0" collapsed="false">
      <c r="A210" s="8" t="s">
        <v>12</v>
      </c>
      <c r="B210" s="8" t="s">
        <v>12</v>
      </c>
      <c r="C210" s="8" t="s">
        <v>606</v>
      </c>
      <c r="D210" s="8" t="s">
        <v>61</v>
      </c>
      <c r="E210" s="9" t="n">
        <v>6000</v>
      </c>
      <c r="F210" s="9" t="n">
        <v>7500</v>
      </c>
      <c r="G210" s="9" t="n">
        <v>9800</v>
      </c>
      <c r="H210" s="9" t="n">
        <v>14500</v>
      </c>
      <c r="I210" s="8" t="s">
        <v>42</v>
      </c>
      <c r="J210" s="9" t="n">
        <v>9500</v>
      </c>
      <c r="K210" s="10" t="n">
        <f aca="false">IF(AND(ISNUMBER(J210),E210&gt;0),J210/E210-1,"")</f>
        <v>0.583333333333333</v>
      </c>
      <c r="L210" s="11"/>
      <c r="M210" s="12"/>
      <c r="N210" s="13" t="n">
        <f aca="false">IF(L210="Своя ціна",M210,IF(L210="Прийняти",IF(ISNUMBER(J210),J210,E210),E210))</f>
        <v>6000</v>
      </c>
      <c r="O210" s="8" t="s">
        <v>607</v>
      </c>
      <c r="P210" s="14" t="s">
        <v>608</v>
      </c>
    </row>
    <row r="211" customFormat="false" ht="85.05" hidden="false" customHeight="false" outlineLevel="0" collapsed="false">
      <c r="A211" s="8" t="s">
        <v>12</v>
      </c>
      <c r="B211" s="8" t="s">
        <v>12</v>
      </c>
      <c r="C211" s="8" t="s">
        <v>609</v>
      </c>
      <c r="D211" s="8" t="s">
        <v>61</v>
      </c>
      <c r="E211" s="9" t="n">
        <v>1300</v>
      </c>
      <c r="F211" s="9" t="n">
        <v>1000</v>
      </c>
      <c r="G211" s="9" t="n">
        <v>1800</v>
      </c>
      <c r="H211" s="9" t="n">
        <v>2800</v>
      </c>
      <c r="I211" s="8" t="s">
        <v>42</v>
      </c>
      <c r="J211" s="9" t="n">
        <v>1600</v>
      </c>
      <c r="K211" s="10" t="n">
        <f aca="false">IF(AND(ISNUMBER(J211),E211&gt;0),J211/E211-1,"")</f>
        <v>0.230769230769231</v>
      </c>
      <c r="L211" s="11"/>
      <c r="M211" s="12"/>
      <c r="N211" s="13" t="n">
        <f aca="false">IF(L211="Своя ціна",M211,IF(L211="Прийняти",IF(ISNUMBER(J211),J211,E211),E211))</f>
        <v>1300</v>
      </c>
      <c r="O211" s="8" t="s">
        <v>610</v>
      </c>
      <c r="P211" s="14" t="s">
        <v>611</v>
      </c>
    </row>
    <row r="212" customFormat="false" ht="53.7" hidden="false" customHeight="false" outlineLevel="0" collapsed="false">
      <c r="A212" s="8" t="s">
        <v>12</v>
      </c>
      <c r="B212" s="8" t="s">
        <v>12</v>
      </c>
      <c r="C212" s="8" t="s">
        <v>612</v>
      </c>
      <c r="D212" s="8" t="s">
        <v>49</v>
      </c>
      <c r="E212" s="9" t="n">
        <v>200</v>
      </c>
      <c r="F212" s="9" t="n">
        <v>350</v>
      </c>
      <c r="G212" s="9" t="n">
        <v>425</v>
      </c>
      <c r="H212" s="9" t="n">
        <v>500</v>
      </c>
      <c r="I212" s="8" t="s">
        <v>42</v>
      </c>
      <c r="J212" s="9" t="n">
        <v>450</v>
      </c>
      <c r="K212" s="10" t="n">
        <f aca="false">IF(AND(ISNUMBER(J212),E212&gt;0),J212/E212-1,"")</f>
        <v>1.25</v>
      </c>
      <c r="L212" s="11"/>
      <c r="M212" s="12"/>
      <c r="N212" s="13" t="n">
        <f aca="false">IF(L212="Своя ціна",M212,IF(L212="Прийняти",IF(ISNUMBER(J212),J212,E212),E212))</f>
        <v>200</v>
      </c>
      <c r="O212" s="8" t="s">
        <v>613</v>
      </c>
      <c r="P212" s="14" t="s">
        <v>614</v>
      </c>
    </row>
    <row r="213" customFormat="false" ht="53.7" hidden="false" customHeight="false" outlineLevel="0" collapsed="false">
      <c r="A213" s="8" t="s">
        <v>12</v>
      </c>
      <c r="B213" s="8" t="s">
        <v>12</v>
      </c>
      <c r="C213" s="8" t="s">
        <v>615</v>
      </c>
      <c r="D213" s="8" t="s">
        <v>49</v>
      </c>
      <c r="E213" s="9" t="n">
        <v>150</v>
      </c>
      <c r="F213" s="9" t="n">
        <v>180</v>
      </c>
      <c r="G213" s="9" t="n">
        <v>270</v>
      </c>
      <c r="H213" s="9" t="n">
        <v>350</v>
      </c>
      <c r="I213" s="8" t="s">
        <v>42</v>
      </c>
      <c r="J213" s="9" t="n">
        <v>300</v>
      </c>
      <c r="K213" s="10" t="n">
        <f aca="false">IF(AND(ISNUMBER(J213),E213&gt;0),J213/E213-1,"")</f>
        <v>1</v>
      </c>
      <c r="L213" s="11"/>
      <c r="M213" s="12"/>
      <c r="N213" s="13" t="n">
        <f aca="false">IF(L213="Своя ціна",M213,IF(L213="Прийняти",IF(ISNUMBER(J213),J213,E213),E213))</f>
        <v>150</v>
      </c>
      <c r="O213" s="8" t="s">
        <v>616</v>
      </c>
      <c r="P213" s="14" t="s">
        <v>617</v>
      </c>
    </row>
    <row r="214" customFormat="false" ht="53.7" hidden="false" customHeight="false" outlineLevel="0" collapsed="false">
      <c r="A214" s="8" t="s">
        <v>12</v>
      </c>
      <c r="B214" s="8" t="s">
        <v>12</v>
      </c>
      <c r="C214" s="8" t="s">
        <v>618</v>
      </c>
      <c r="D214" s="8" t="s">
        <v>61</v>
      </c>
      <c r="E214" s="9" t="n">
        <v>1500</v>
      </c>
      <c r="F214" s="9" t="n">
        <v>700</v>
      </c>
      <c r="G214" s="9" t="n">
        <v>1030</v>
      </c>
      <c r="H214" s="9" t="n">
        <v>1350</v>
      </c>
      <c r="I214" s="8" t="s">
        <v>105</v>
      </c>
      <c r="J214" s="9" t="n">
        <v>1100</v>
      </c>
      <c r="K214" s="10" t="n">
        <f aca="false">IF(AND(ISNUMBER(J214),E214&gt;0),J214/E214-1,"")</f>
        <v>-0.266666666666667</v>
      </c>
      <c r="L214" s="11"/>
      <c r="M214" s="12"/>
      <c r="N214" s="13" t="n">
        <f aca="false">IF(L214="Своя ціна",M214,IF(L214="Прийняти",IF(ISNUMBER(J214),J214,E214),E214))</f>
        <v>1500</v>
      </c>
      <c r="O214" s="8" t="s">
        <v>619</v>
      </c>
      <c r="P214" s="14" t="s">
        <v>620</v>
      </c>
    </row>
    <row r="215" customFormat="false" ht="137.3" hidden="false" customHeight="false" outlineLevel="0" collapsed="false">
      <c r="A215" s="8" t="s">
        <v>12</v>
      </c>
      <c r="B215" s="8" t="s">
        <v>12</v>
      </c>
      <c r="C215" s="8" t="s">
        <v>621</v>
      </c>
      <c r="D215" s="8" t="s">
        <v>61</v>
      </c>
      <c r="E215" s="9" t="n">
        <v>2600</v>
      </c>
      <c r="F215" s="9" t="n">
        <v>1350</v>
      </c>
      <c r="G215" s="9" t="n">
        <v>2200</v>
      </c>
      <c r="H215" s="9" t="n">
        <v>3700</v>
      </c>
      <c r="I215" s="8" t="s">
        <v>105</v>
      </c>
      <c r="J215" s="9" t="n">
        <v>2300</v>
      </c>
      <c r="K215" s="10" t="n">
        <f aca="false">IF(AND(ISNUMBER(J215),E215&gt;0),J215/E215-1,"")</f>
        <v>-0.115384615384615</v>
      </c>
      <c r="L215" s="11"/>
      <c r="M215" s="12"/>
      <c r="N215" s="13" t="n">
        <f aca="false">IF(L215="Своя ціна",M215,IF(L215="Прийняти",IF(ISNUMBER(J215),J215,E215),E215))</f>
        <v>2600</v>
      </c>
      <c r="O215" s="8" t="s">
        <v>622</v>
      </c>
      <c r="P215" s="14" t="s">
        <v>623</v>
      </c>
    </row>
    <row r="216" customFormat="false" ht="53.7" hidden="false" customHeight="false" outlineLevel="0" collapsed="false">
      <c r="A216" s="8" t="s">
        <v>12</v>
      </c>
      <c r="B216" s="8" t="s">
        <v>12</v>
      </c>
      <c r="C216" s="8" t="s">
        <v>624</v>
      </c>
      <c r="D216" s="8" t="s">
        <v>61</v>
      </c>
      <c r="E216" s="9" t="n">
        <v>1800</v>
      </c>
      <c r="F216" s="9" t="n">
        <v>800</v>
      </c>
      <c r="G216" s="9" t="n">
        <v>1300</v>
      </c>
      <c r="H216" s="9" t="n">
        <v>2000</v>
      </c>
      <c r="I216" s="8" t="s">
        <v>105</v>
      </c>
      <c r="J216" s="9" t="n">
        <v>1300</v>
      </c>
      <c r="K216" s="10" t="n">
        <f aca="false">IF(AND(ISNUMBER(J216),E216&gt;0),J216/E216-1,"")</f>
        <v>-0.277777777777778</v>
      </c>
      <c r="L216" s="11"/>
      <c r="M216" s="12"/>
      <c r="N216" s="13" t="n">
        <f aca="false">IF(L216="Своя ціна",M216,IF(L216="Прийняти",IF(ISNUMBER(J216),J216,E216),E216))</f>
        <v>1800</v>
      </c>
      <c r="O216" s="8" t="s">
        <v>625</v>
      </c>
      <c r="P216" s="14" t="s">
        <v>626</v>
      </c>
    </row>
    <row r="217" customFormat="false" ht="85.05" hidden="false" customHeight="false" outlineLevel="0" collapsed="false">
      <c r="A217" s="8" t="s">
        <v>12</v>
      </c>
      <c r="B217" s="8" t="s">
        <v>12</v>
      </c>
      <c r="C217" s="8" t="s">
        <v>627</v>
      </c>
      <c r="D217" s="8" t="s">
        <v>49</v>
      </c>
      <c r="E217" s="9" t="n">
        <v>220</v>
      </c>
      <c r="F217" s="9" t="n">
        <v>90</v>
      </c>
      <c r="G217" s="9" t="n">
        <v>165</v>
      </c>
      <c r="H217" s="9" t="n">
        <v>270</v>
      </c>
      <c r="I217" s="8" t="s">
        <v>105</v>
      </c>
      <c r="J217" s="9" t="n">
        <v>170</v>
      </c>
      <c r="K217" s="10" t="n">
        <f aca="false">IF(AND(ISNUMBER(J217),E217&gt;0),J217/E217-1,"")</f>
        <v>-0.227272727272727</v>
      </c>
      <c r="L217" s="11"/>
      <c r="M217" s="12"/>
      <c r="N217" s="13" t="n">
        <f aca="false">IF(L217="Своя ціна",M217,IF(L217="Прийняти",IF(ISNUMBER(J217),J217,E217),E217))</f>
        <v>220</v>
      </c>
      <c r="O217" s="8" t="s">
        <v>628</v>
      </c>
      <c r="P217" s="14" t="s">
        <v>629</v>
      </c>
    </row>
    <row r="218" customFormat="false" ht="85.05" hidden="false" customHeight="false" outlineLevel="0" collapsed="false">
      <c r="A218" s="8" t="s">
        <v>12</v>
      </c>
      <c r="B218" s="8" t="s">
        <v>12</v>
      </c>
      <c r="C218" s="8" t="s">
        <v>630</v>
      </c>
      <c r="D218" s="8" t="s">
        <v>61</v>
      </c>
      <c r="E218" s="9" t="n">
        <v>7500</v>
      </c>
      <c r="F218" s="9" t="n">
        <v>4000</v>
      </c>
      <c r="G218" s="9" t="n">
        <v>5900</v>
      </c>
      <c r="H218" s="9" t="n">
        <v>8100</v>
      </c>
      <c r="I218" s="8" t="s">
        <v>105</v>
      </c>
      <c r="J218" s="9" t="n">
        <v>6000</v>
      </c>
      <c r="K218" s="10" t="n">
        <f aca="false">IF(AND(ISNUMBER(J218),E218&gt;0),J218/E218-1,"")</f>
        <v>-0.2</v>
      </c>
      <c r="L218" s="11"/>
      <c r="M218" s="12"/>
      <c r="N218" s="13" t="n">
        <f aca="false">IF(L218="Своя ціна",M218,IF(L218="Прийняти",IF(ISNUMBER(J218),J218,E218),E218))</f>
        <v>7500</v>
      </c>
      <c r="O218" s="8" t="s">
        <v>631</v>
      </c>
      <c r="P218" s="14" t="s">
        <v>632</v>
      </c>
    </row>
    <row r="219" customFormat="false" ht="105.95" hidden="false" customHeight="false" outlineLevel="0" collapsed="false">
      <c r="A219" s="8" t="s">
        <v>12</v>
      </c>
      <c r="B219" s="8" t="s">
        <v>12</v>
      </c>
      <c r="C219" s="8" t="s">
        <v>633</v>
      </c>
      <c r="D219" s="8" t="s">
        <v>61</v>
      </c>
      <c r="E219" s="9" t="n">
        <v>4500</v>
      </c>
      <c r="F219" s="9" t="n">
        <v>1500</v>
      </c>
      <c r="G219" s="9" t="n">
        <v>2200</v>
      </c>
      <c r="H219" s="9" t="n">
        <v>3250</v>
      </c>
      <c r="I219" s="8" t="s">
        <v>105</v>
      </c>
      <c r="J219" s="9" t="n">
        <v>2300</v>
      </c>
      <c r="K219" s="10" t="n">
        <f aca="false">IF(AND(ISNUMBER(J219),E219&gt;0),J219/E219-1,"")</f>
        <v>-0.488888888888889</v>
      </c>
      <c r="L219" s="11"/>
      <c r="M219" s="12"/>
      <c r="N219" s="13" t="n">
        <f aca="false">IF(L219="Своя ціна",M219,IF(L219="Прийняти",IF(ISNUMBER(J219),J219,E219),E219))</f>
        <v>4500</v>
      </c>
      <c r="O219" s="8" t="s">
        <v>634</v>
      </c>
      <c r="P219" s="14" t="s">
        <v>635</v>
      </c>
    </row>
    <row r="220" customFormat="false" ht="95.5" hidden="false" customHeight="false" outlineLevel="0" collapsed="false">
      <c r="A220" s="8" t="s">
        <v>12</v>
      </c>
      <c r="B220" s="8" t="s">
        <v>12</v>
      </c>
      <c r="C220" s="8" t="s">
        <v>636</v>
      </c>
      <c r="D220" s="8" t="s">
        <v>61</v>
      </c>
      <c r="E220" s="9" t="n">
        <v>1000</v>
      </c>
      <c r="F220" s="9" t="n">
        <v>500</v>
      </c>
      <c r="G220" s="9" t="n">
        <v>760</v>
      </c>
      <c r="H220" s="9" t="n">
        <v>1200</v>
      </c>
      <c r="I220" s="8" t="s">
        <v>105</v>
      </c>
      <c r="J220" s="9" t="n">
        <v>800</v>
      </c>
      <c r="K220" s="10" t="n">
        <f aca="false">IF(AND(ISNUMBER(J220),E220&gt;0),J220/E220-1,"")</f>
        <v>-0.2</v>
      </c>
      <c r="L220" s="11"/>
      <c r="M220" s="12"/>
      <c r="N220" s="13" t="n">
        <f aca="false">IF(L220="Своя ціна",M220,IF(L220="Прийняти",IF(ISNUMBER(J220),J220,E220),E220))</f>
        <v>1000</v>
      </c>
      <c r="O220" s="8" t="s">
        <v>637</v>
      </c>
      <c r="P220" s="14" t="s">
        <v>638</v>
      </c>
    </row>
    <row r="221" customFormat="false" ht="64.15" hidden="false" customHeight="false" outlineLevel="0" collapsed="false">
      <c r="A221" s="8" t="s">
        <v>12</v>
      </c>
      <c r="B221" s="8" t="s">
        <v>12</v>
      </c>
      <c r="C221" s="8" t="s">
        <v>639</v>
      </c>
      <c r="D221" s="8" t="s">
        <v>49</v>
      </c>
      <c r="E221" s="9" t="n">
        <v>180</v>
      </c>
      <c r="F221" s="9" t="n">
        <v>55</v>
      </c>
      <c r="G221" s="9" t="n">
        <v>95</v>
      </c>
      <c r="H221" s="9" t="n">
        <v>180</v>
      </c>
      <c r="I221" s="8" t="s">
        <v>121</v>
      </c>
      <c r="J221" s="9"/>
      <c r="K221" s="10" t="str">
        <f aca="false">IF(AND(ISNUMBER(J221),E221&gt;0),J221/E221-1,"")</f>
        <v/>
      </c>
      <c r="L221" s="11"/>
      <c r="M221" s="12"/>
      <c r="N221" s="13" t="n">
        <f aca="false">IF(L221="Своя ціна",M221,IF(L221="Прийняти",IF(ISNUMBER(J221),J221,E221),E221))</f>
        <v>180</v>
      </c>
      <c r="O221" s="8" t="s">
        <v>640</v>
      </c>
      <c r="P221" s="14" t="s">
        <v>641</v>
      </c>
    </row>
    <row r="222" customFormat="false" ht="85.05" hidden="false" customHeight="false" outlineLevel="0" collapsed="false">
      <c r="A222" s="8" t="s">
        <v>12</v>
      </c>
      <c r="B222" s="8" t="s">
        <v>12</v>
      </c>
      <c r="C222" s="8" t="s">
        <v>642</v>
      </c>
      <c r="D222" s="8" t="s">
        <v>354</v>
      </c>
      <c r="E222" s="9" t="n">
        <v>750</v>
      </c>
      <c r="F222" s="9" t="n">
        <v>495</v>
      </c>
      <c r="G222" s="9" t="n">
        <v>775</v>
      </c>
      <c r="H222" s="9" t="n">
        <v>1150</v>
      </c>
      <c r="I222" s="8" t="s">
        <v>128</v>
      </c>
      <c r="J222" s="9"/>
      <c r="K222" s="10" t="str">
        <f aca="false">IF(AND(ISNUMBER(J222),E222&gt;0),J222/E222-1,"")</f>
        <v/>
      </c>
      <c r="L222" s="11"/>
      <c r="M222" s="12"/>
      <c r="N222" s="13" t="n">
        <f aca="false">IF(L222="Своя ціна",M222,IF(L222="Прийняти",IF(ISNUMBER(J222),J222,E222),E222))</f>
        <v>750</v>
      </c>
      <c r="O222" s="8"/>
      <c r="P222" s="14" t="s">
        <v>643</v>
      </c>
    </row>
    <row r="223" customFormat="false" ht="85.05" hidden="false" customHeight="false" outlineLevel="0" collapsed="false">
      <c r="A223" s="8" t="s">
        <v>12</v>
      </c>
      <c r="B223" s="8" t="s">
        <v>12</v>
      </c>
      <c r="C223" s="8" t="s">
        <v>644</v>
      </c>
      <c r="D223" s="8" t="s">
        <v>354</v>
      </c>
      <c r="E223" s="9" t="n">
        <v>750</v>
      </c>
      <c r="F223" s="9" t="n">
        <v>450</v>
      </c>
      <c r="G223" s="9" t="n">
        <v>790</v>
      </c>
      <c r="H223" s="9" t="n">
        <v>1150</v>
      </c>
      <c r="I223" s="8" t="s">
        <v>128</v>
      </c>
      <c r="J223" s="9"/>
      <c r="K223" s="10" t="str">
        <f aca="false">IF(AND(ISNUMBER(J223),E223&gt;0),J223/E223-1,"")</f>
        <v/>
      </c>
      <c r="L223" s="11"/>
      <c r="M223" s="12"/>
      <c r="N223" s="13" t="n">
        <f aca="false">IF(L223="Своя ціна",M223,IF(L223="Прийняти",IF(ISNUMBER(J223),J223,E223),E223))</f>
        <v>750</v>
      </c>
      <c r="O223" s="8" t="s">
        <v>645</v>
      </c>
      <c r="P223" s="14" t="s">
        <v>646</v>
      </c>
    </row>
    <row r="224" customFormat="false" ht="64.15" hidden="false" customHeight="false" outlineLevel="0" collapsed="false">
      <c r="A224" s="8" t="s">
        <v>12</v>
      </c>
      <c r="B224" s="8" t="s">
        <v>12</v>
      </c>
      <c r="C224" s="8" t="s">
        <v>647</v>
      </c>
      <c r="D224" s="8" t="s">
        <v>61</v>
      </c>
      <c r="E224" s="9" t="n">
        <v>1500</v>
      </c>
      <c r="F224" s="9" t="n">
        <v>1000</v>
      </c>
      <c r="G224" s="9" t="n">
        <v>1470</v>
      </c>
      <c r="H224" s="9" t="n">
        <v>2000</v>
      </c>
      <c r="I224" s="8" t="s">
        <v>128</v>
      </c>
      <c r="J224" s="9"/>
      <c r="K224" s="10" t="str">
        <f aca="false">IF(AND(ISNUMBER(J224),E224&gt;0),J224/E224-1,"")</f>
        <v/>
      </c>
      <c r="L224" s="11"/>
      <c r="M224" s="12"/>
      <c r="N224" s="13" t="n">
        <f aca="false">IF(L224="Своя ціна",M224,IF(L224="Прийняти",IF(ISNUMBER(J224),J224,E224),E224))</f>
        <v>1500</v>
      </c>
      <c r="O224" s="8"/>
      <c r="P224" s="14" t="s">
        <v>648</v>
      </c>
    </row>
    <row r="225" customFormat="false" ht="43.25" hidden="false" customHeight="false" outlineLevel="0" collapsed="false">
      <c r="A225" s="8" t="s">
        <v>12</v>
      </c>
      <c r="B225" s="8" t="s">
        <v>12</v>
      </c>
      <c r="C225" s="8" t="s">
        <v>649</v>
      </c>
      <c r="D225" s="8" t="s">
        <v>49</v>
      </c>
      <c r="E225" s="9" t="n">
        <v>175</v>
      </c>
      <c r="F225" s="9" t="n">
        <v>120</v>
      </c>
      <c r="G225" s="9" t="n">
        <v>190</v>
      </c>
      <c r="H225" s="9" t="n">
        <v>250</v>
      </c>
      <c r="I225" s="8" t="s">
        <v>128</v>
      </c>
      <c r="J225" s="9"/>
      <c r="K225" s="10" t="str">
        <f aca="false">IF(AND(ISNUMBER(J225),E225&gt;0),J225/E225-1,"")</f>
        <v/>
      </c>
      <c r="L225" s="11"/>
      <c r="M225" s="12"/>
      <c r="N225" s="13" t="n">
        <f aca="false">IF(L225="Своя ціна",M225,IF(L225="Прийняти",IF(ISNUMBER(J225),J225,E225),E225))</f>
        <v>175</v>
      </c>
      <c r="O225" s="8"/>
      <c r="P225" s="14" t="s">
        <v>650</v>
      </c>
    </row>
    <row r="226" customFormat="false" ht="64.15" hidden="false" customHeight="false" outlineLevel="0" collapsed="false">
      <c r="A226" s="8" t="s">
        <v>12</v>
      </c>
      <c r="B226" s="8" t="s">
        <v>12</v>
      </c>
      <c r="C226" s="8" t="s">
        <v>651</v>
      </c>
      <c r="D226" s="8" t="s">
        <v>61</v>
      </c>
      <c r="E226" s="9" t="n">
        <v>600</v>
      </c>
      <c r="F226" s="9" t="n">
        <v>430</v>
      </c>
      <c r="G226" s="9" t="n">
        <v>700</v>
      </c>
      <c r="H226" s="9" t="n">
        <v>1100</v>
      </c>
      <c r="I226" s="8" t="s">
        <v>128</v>
      </c>
      <c r="J226" s="9"/>
      <c r="K226" s="10" t="str">
        <f aca="false">IF(AND(ISNUMBER(J226),E226&gt;0),J226/E226-1,"")</f>
        <v/>
      </c>
      <c r="L226" s="11"/>
      <c r="M226" s="12"/>
      <c r="N226" s="13" t="n">
        <f aca="false">IF(L226="Своя ціна",M226,IF(L226="Прийняти",IF(ISNUMBER(J226),J226,E226),E226))</f>
        <v>600</v>
      </c>
      <c r="O226" s="8" t="s">
        <v>652</v>
      </c>
      <c r="P226" s="14" t="s">
        <v>653</v>
      </c>
    </row>
    <row r="227" customFormat="false" ht="53.7" hidden="false" customHeight="false" outlineLevel="0" collapsed="false">
      <c r="A227" s="8" t="s">
        <v>12</v>
      </c>
      <c r="B227" s="8" t="s">
        <v>12</v>
      </c>
      <c r="C227" s="8" t="s">
        <v>654</v>
      </c>
      <c r="D227" s="8" t="s">
        <v>49</v>
      </c>
      <c r="E227" s="9" t="n">
        <v>100</v>
      </c>
      <c r="F227" s="9" t="n">
        <v>60</v>
      </c>
      <c r="G227" s="9" t="n">
        <v>100</v>
      </c>
      <c r="H227" s="9" t="n">
        <v>150</v>
      </c>
      <c r="I227" s="8" t="s">
        <v>128</v>
      </c>
      <c r="J227" s="9"/>
      <c r="K227" s="10" t="str">
        <f aca="false">IF(AND(ISNUMBER(J227),E227&gt;0),J227/E227-1,"")</f>
        <v/>
      </c>
      <c r="L227" s="11"/>
      <c r="M227" s="12"/>
      <c r="N227" s="13" t="n">
        <f aca="false">IF(L227="Своя ціна",M227,IF(L227="Прийняти",IF(ISNUMBER(J227),J227,E227),E227))</f>
        <v>100</v>
      </c>
      <c r="O227" s="8"/>
      <c r="P227" s="14" t="s">
        <v>655</v>
      </c>
    </row>
    <row r="228" customFormat="false" ht="85.05" hidden="false" customHeight="false" outlineLevel="0" collapsed="false">
      <c r="A228" s="8" t="s">
        <v>12</v>
      </c>
      <c r="B228" s="8" t="s">
        <v>12</v>
      </c>
      <c r="C228" s="8" t="s">
        <v>656</v>
      </c>
      <c r="D228" s="8" t="s">
        <v>61</v>
      </c>
      <c r="E228" s="9" t="n">
        <v>3000</v>
      </c>
      <c r="F228" s="9" t="n">
        <v>2000</v>
      </c>
      <c r="G228" s="9" t="n">
        <v>3350</v>
      </c>
      <c r="H228" s="9" t="n">
        <v>4500</v>
      </c>
      <c r="I228" s="8" t="s">
        <v>128</v>
      </c>
      <c r="J228" s="9"/>
      <c r="K228" s="10" t="str">
        <f aca="false">IF(AND(ISNUMBER(J228),E228&gt;0),J228/E228-1,"")</f>
        <v/>
      </c>
      <c r="L228" s="11"/>
      <c r="M228" s="12"/>
      <c r="N228" s="13" t="n">
        <f aca="false">IF(L228="Своя ціна",M228,IF(L228="Прийняти",IF(ISNUMBER(J228),J228,E228),E228))</f>
        <v>3000</v>
      </c>
      <c r="O228" s="8" t="s">
        <v>657</v>
      </c>
      <c r="P228" s="14" t="s">
        <v>658</v>
      </c>
    </row>
    <row r="229" customFormat="false" ht="126.85" hidden="false" customHeight="false" outlineLevel="0" collapsed="false">
      <c r="A229" s="8" t="s">
        <v>12</v>
      </c>
      <c r="B229" s="8" t="s">
        <v>12</v>
      </c>
      <c r="C229" s="8" t="s">
        <v>659</v>
      </c>
      <c r="D229" s="8" t="s">
        <v>61</v>
      </c>
      <c r="E229" s="9" t="n">
        <v>3000</v>
      </c>
      <c r="F229" s="9" t="n">
        <v>2550</v>
      </c>
      <c r="G229" s="9" t="n">
        <v>3950</v>
      </c>
      <c r="H229" s="9" t="n">
        <v>6800</v>
      </c>
      <c r="I229" s="8" t="s">
        <v>128</v>
      </c>
      <c r="J229" s="9"/>
      <c r="K229" s="10" t="str">
        <f aca="false">IF(AND(ISNUMBER(J229),E229&gt;0),J229/E229-1,"")</f>
        <v/>
      </c>
      <c r="L229" s="11"/>
      <c r="M229" s="12"/>
      <c r="N229" s="13" t="n">
        <f aca="false">IF(L229="Своя ціна",M229,IF(L229="Прийняти",IF(ISNUMBER(J229),J229,E229),E229))</f>
        <v>3000</v>
      </c>
      <c r="O229" s="8" t="s">
        <v>660</v>
      </c>
      <c r="P229" s="14" t="s">
        <v>661</v>
      </c>
    </row>
    <row r="230" customFormat="false" ht="64.15" hidden="false" customHeight="false" outlineLevel="0" collapsed="false">
      <c r="A230" s="8" t="s">
        <v>12</v>
      </c>
      <c r="B230" s="8" t="s">
        <v>12</v>
      </c>
      <c r="C230" s="8" t="s">
        <v>662</v>
      </c>
      <c r="D230" s="8" t="s">
        <v>61</v>
      </c>
      <c r="E230" s="9" t="n">
        <v>1600</v>
      </c>
      <c r="F230" s="9" t="n">
        <v>1000</v>
      </c>
      <c r="G230" s="9" t="n">
        <v>1400</v>
      </c>
      <c r="H230" s="9" t="n">
        <v>2050</v>
      </c>
      <c r="I230" s="8" t="s">
        <v>128</v>
      </c>
      <c r="J230" s="9"/>
      <c r="K230" s="10" t="str">
        <f aca="false">IF(AND(ISNUMBER(J230),E230&gt;0),J230/E230-1,"")</f>
        <v/>
      </c>
      <c r="L230" s="11"/>
      <c r="M230" s="12"/>
      <c r="N230" s="13" t="n">
        <f aca="false">IF(L230="Своя ціна",M230,IF(L230="Прийняти",IF(ISNUMBER(J230),J230,E230),E230))</f>
        <v>1600</v>
      </c>
      <c r="O230" s="8"/>
      <c r="P230" s="14" t="s">
        <v>663</v>
      </c>
    </row>
    <row r="231" customFormat="false" ht="74.6" hidden="false" customHeight="false" outlineLevel="0" collapsed="false">
      <c r="A231" s="8" t="s">
        <v>12</v>
      </c>
      <c r="B231" s="8" t="s">
        <v>12</v>
      </c>
      <c r="C231" s="8" t="s">
        <v>664</v>
      </c>
      <c r="D231" s="8" t="s">
        <v>61</v>
      </c>
      <c r="E231" s="9" t="n">
        <v>1600</v>
      </c>
      <c r="F231" s="9" t="n">
        <v>900</v>
      </c>
      <c r="G231" s="9" t="n">
        <v>1500</v>
      </c>
      <c r="H231" s="9" t="n">
        <v>2200</v>
      </c>
      <c r="I231" s="8" t="s">
        <v>128</v>
      </c>
      <c r="J231" s="9"/>
      <c r="K231" s="10" t="str">
        <f aca="false">IF(AND(ISNUMBER(J231),E231&gt;0),J231/E231-1,"")</f>
        <v/>
      </c>
      <c r="L231" s="11"/>
      <c r="M231" s="12"/>
      <c r="N231" s="13" t="n">
        <f aca="false">IF(L231="Своя ціна",M231,IF(L231="Прийняти",IF(ISNUMBER(J231),J231,E231),E231))</f>
        <v>1600</v>
      </c>
      <c r="O231" s="8" t="s">
        <v>665</v>
      </c>
      <c r="P231" s="14" t="s">
        <v>666</v>
      </c>
    </row>
    <row r="232" customFormat="false" ht="32.8" hidden="false" customHeight="false" outlineLevel="0" collapsed="false">
      <c r="A232" s="8" t="s">
        <v>12</v>
      </c>
      <c r="B232" s="8" t="s">
        <v>12</v>
      </c>
      <c r="C232" s="8" t="s">
        <v>667</v>
      </c>
      <c r="D232" s="8" t="s">
        <v>61</v>
      </c>
      <c r="E232" s="9" t="n">
        <v>1200</v>
      </c>
      <c r="F232" s="9" t="n">
        <v>800</v>
      </c>
      <c r="G232" s="9" t="n">
        <v>1040</v>
      </c>
      <c r="H232" s="9" t="n">
        <v>1500</v>
      </c>
      <c r="I232" s="8" t="s">
        <v>128</v>
      </c>
      <c r="J232" s="9"/>
      <c r="K232" s="10" t="str">
        <f aca="false">IF(AND(ISNUMBER(J232),E232&gt;0),J232/E232-1,"")</f>
        <v/>
      </c>
      <c r="L232" s="11"/>
      <c r="M232" s="12"/>
      <c r="N232" s="13" t="n">
        <f aca="false">IF(L232="Своя ціна",M232,IF(L232="Прийняти",IF(ISNUMBER(J232),J232,E232),E232))</f>
        <v>1200</v>
      </c>
      <c r="O232" s="8"/>
      <c r="P232" s="14" t="s">
        <v>668</v>
      </c>
    </row>
    <row r="233" customFormat="false" ht="85.05" hidden="false" customHeight="false" outlineLevel="0" collapsed="false">
      <c r="A233" s="8" t="s">
        <v>12</v>
      </c>
      <c r="B233" s="8" t="s">
        <v>12</v>
      </c>
      <c r="C233" s="8" t="s">
        <v>669</v>
      </c>
      <c r="D233" s="8" t="s">
        <v>354</v>
      </c>
      <c r="E233" s="9" t="n">
        <v>750</v>
      </c>
      <c r="F233" s="9" t="n">
        <v>500</v>
      </c>
      <c r="G233" s="9" t="n">
        <v>800</v>
      </c>
      <c r="H233" s="9" t="n">
        <v>1200</v>
      </c>
      <c r="I233" s="8" t="s">
        <v>128</v>
      </c>
      <c r="J233" s="9"/>
      <c r="K233" s="10" t="str">
        <f aca="false">IF(AND(ISNUMBER(J233),E233&gt;0),J233/E233-1,"")</f>
        <v/>
      </c>
      <c r="L233" s="11"/>
      <c r="M233" s="12"/>
      <c r="N233" s="13" t="n">
        <f aca="false">IF(L233="Своя ціна",M233,IF(L233="Прийняти",IF(ISNUMBER(J233),J233,E233),E233))</f>
        <v>750</v>
      </c>
      <c r="O233" s="8" t="s">
        <v>670</v>
      </c>
      <c r="P233" s="14" t="s">
        <v>671</v>
      </c>
    </row>
    <row r="234" customFormat="false" ht="32.8" hidden="false" customHeight="false" outlineLevel="0" collapsed="false">
      <c r="A234" s="8" t="s">
        <v>12</v>
      </c>
      <c r="B234" s="8" t="s">
        <v>12</v>
      </c>
      <c r="C234" s="8" t="s">
        <v>672</v>
      </c>
      <c r="D234" s="8" t="s">
        <v>61</v>
      </c>
      <c r="E234" s="9" t="n">
        <v>1800</v>
      </c>
      <c r="F234" s="9" t="n">
        <v>1700</v>
      </c>
      <c r="G234" s="9" t="n">
        <v>2150</v>
      </c>
      <c r="H234" s="9" t="n">
        <v>3000</v>
      </c>
      <c r="I234" s="8" t="s">
        <v>128</v>
      </c>
      <c r="J234" s="9"/>
      <c r="K234" s="10" t="str">
        <f aca="false">IF(AND(ISNUMBER(J234),E234&gt;0),J234/E234-1,"")</f>
        <v/>
      </c>
      <c r="L234" s="11"/>
      <c r="M234" s="12"/>
      <c r="N234" s="13" t="n">
        <f aca="false">IF(L234="Своя ціна",M234,IF(L234="Прийняти",IF(ISNUMBER(J234),J234,E234),E234))</f>
        <v>1800</v>
      </c>
      <c r="O234" s="8" t="s">
        <v>673</v>
      </c>
      <c r="P234" s="14" t="s">
        <v>674</v>
      </c>
    </row>
    <row r="235" customFormat="false" ht="64.15" hidden="false" customHeight="false" outlineLevel="0" collapsed="false">
      <c r="A235" s="8" t="s">
        <v>12</v>
      </c>
      <c r="B235" s="8" t="s">
        <v>12</v>
      </c>
      <c r="C235" s="8" t="s">
        <v>675</v>
      </c>
      <c r="D235" s="8" t="s">
        <v>61</v>
      </c>
      <c r="E235" s="9" t="n">
        <v>1400</v>
      </c>
      <c r="F235" s="9" t="n">
        <v>900</v>
      </c>
      <c r="G235" s="9" t="n">
        <v>1300</v>
      </c>
      <c r="H235" s="9" t="n">
        <v>2200</v>
      </c>
      <c r="I235" s="8" t="s">
        <v>128</v>
      </c>
      <c r="J235" s="9"/>
      <c r="K235" s="10" t="str">
        <f aca="false">IF(AND(ISNUMBER(J235),E235&gt;0),J235/E235-1,"")</f>
        <v/>
      </c>
      <c r="L235" s="11"/>
      <c r="M235" s="12"/>
      <c r="N235" s="13" t="n">
        <f aca="false">IF(L235="Своя ціна",M235,IF(L235="Прийняти",IF(ISNUMBER(J235),J235,E235),E235))</f>
        <v>1400</v>
      </c>
      <c r="O235" s="8"/>
      <c r="P235" s="14" t="s">
        <v>676</v>
      </c>
    </row>
    <row r="236" customFormat="false" ht="126.85" hidden="false" customHeight="false" outlineLevel="0" collapsed="false">
      <c r="A236" s="8" t="s">
        <v>12</v>
      </c>
      <c r="B236" s="8" t="s">
        <v>12</v>
      </c>
      <c r="C236" s="8" t="s">
        <v>677</v>
      </c>
      <c r="D236" s="8" t="s">
        <v>61</v>
      </c>
      <c r="E236" s="9" t="n">
        <v>3000</v>
      </c>
      <c r="F236" s="9" t="n">
        <v>1500</v>
      </c>
      <c r="G236" s="9" t="n">
        <v>2800</v>
      </c>
      <c r="H236" s="9" t="n">
        <v>5000</v>
      </c>
      <c r="I236" s="8" t="s">
        <v>128</v>
      </c>
      <c r="J236" s="9"/>
      <c r="K236" s="10" t="str">
        <f aca="false">IF(AND(ISNUMBER(J236),E236&gt;0),J236/E236-1,"")</f>
        <v/>
      </c>
      <c r="L236" s="11"/>
      <c r="M236" s="12"/>
      <c r="N236" s="13" t="n">
        <f aca="false">IF(L236="Своя ціна",M236,IF(L236="Прийняти",IF(ISNUMBER(J236),J236,E236),E236))</f>
        <v>3000</v>
      </c>
      <c r="O236" s="8" t="s">
        <v>678</v>
      </c>
      <c r="P236" s="14" t="s">
        <v>679</v>
      </c>
    </row>
    <row r="237" customFormat="false" ht="85.05" hidden="false" customHeight="false" outlineLevel="0" collapsed="false">
      <c r="A237" s="8" t="s">
        <v>12</v>
      </c>
      <c r="B237" s="8" t="s">
        <v>12</v>
      </c>
      <c r="C237" s="8" t="s">
        <v>680</v>
      </c>
      <c r="D237" s="8" t="s">
        <v>61</v>
      </c>
      <c r="E237" s="9" t="n">
        <v>700</v>
      </c>
      <c r="F237" s="9" t="n">
        <v>450</v>
      </c>
      <c r="G237" s="9" t="n">
        <v>750</v>
      </c>
      <c r="H237" s="9" t="n">
        <v>1200</v>
      </c>
      <c r="I237" s="8" t="s">
        <v>128</v>
      </c>
      <c r="J237" s="9"/>
      <c r="K237" s="10" t="str">
        <f aca="false">IF(AND(ISNUMBER(J237),E237&gt;0),J237/E237-1,"")</f>
        <v/>
      </c>
      <c r="L237" s="11"/>
      <c r="M237" s="12"/>
      <c r="N237" s="13" t="n">
        <f aca="false">IF(L237="Своя ціна",M237,IF(L237="Прийняти",IF(ISNUMBER(J237),J237,E237),E237))</f>
        <v>700</v>
      </c>
      <c r="O237" s="8"/>
      <c r="P237" s="14" t="s">
        <v>681</v>
      </c>
    </row>
    <row r="238" customFormat="false" ht="85.05" hidden="false" customHeight="false" outlineLevel="0" collapsed="false">
      <c r="A238" s="8" t="s">
        <v>12</v>
      </c>
      <c r="B238" s="8" t="s">
        <v>12</v>
      </c>
      <c r="C238" s="8" t="s">
        <v>682</v>
      </c>
      <c r="D238" s="8" t="s">
        <v>61</v>
      </c>
      <c r="E238" s="9" t="n">
        <v>950</v>
      </c>
      <c r="F238" s="9" t="n">
        <v>660</v>
      </c>
      <c r="G238" s="9" t="n">
        <v>1010</v>
      </c>
      <c r="H238" s="9" t="n">
        <v>1500</v>
      </c>
      <c r="I238" s="8" t="s">
        <v>128</v>
      </c>
      <c r="J238" s="9"/>
      <c r="K238" s="10" t="str">
        <f aca="false">IF(AND(ISNUMBER(J238),E238&gt;0),J238/E238-1,"")</f>
        <v/>
      </c>
      <c r="L238" s="11"/>
      <c r="M238" s="12"/>
      <c r="N238" s="13" t="n">
        <f aca="false">IF(L238="Своя ціна",M238,IF(L238="Прийняти",IF(ISNUMBER(J238),J238,E238),E238))</f>
        <v>950</v>
      </c>
      <c r="O238" s="8" t="s">
        <v>683</v>
      </c>
      <c r="P238" s="14" t="s">
        <v>684</v>
      </c>
    </row>
    <row r="239" customFormat="false" ht="85.05" hidden="false" customHeight="false" outlineLevel="0" collapsed="false">
      <c r="A239" s="8" t="s">
        <v>12</v>
      </c>
      <c r="B239" s="8" t="s">
        <v>12</v>
      </c>
      <c r="C239" s="8" t="s">
        <v>685</v>
      </c>
      <c r="D239" s="8" t="s">
        <v>61</v>
      </c>
      <c r="E239" s="9" t="n">
        <v>750</v>
      </c>
      <c r="F239" s="9" t="n">
        <v>500</v>
      </c>
      <c r="G239" s="9" t="n">
        <v>800</v>
      </c>
      <c r="H239" s="9" t="n">
        <v>1550</v>
      </c>
      <c r="I239" s="8" t="s">
        <v>128</v>
      </c>
      <c r="J239" s="9"/>
      <c r="K239" s="10" t="str">
        <f aca="false">IF(AND(ISNUMBER(J239),E239&gt;0),J239/E239-1,"")</f>
        <v/>
      </c>
      <c r="L239" s="11"/>
      <c r="M239" s="12"/>
      <c r="N239" s="13" t="n">
        <f aca="false">IF(L239="Своя ціна",M239,IF(L239="Прийняти",IF(ISNUMBER(J239),J239,E239),E239))</f>
        <v>750</v>
      </c>
      <c r="O239" s="8" t="s">
        <v>686</v>
      </c>
      <c r="P239" s="14" t="s">
        <v>687</v>
      </c>
    </row>
    <row r="240" customFormat="false" ht="64.15" hidden="false" customHeight="false" outlineLevel="0" collapsed="false">
      <c r="A240" s="8" t="s">
        <v>12</v>
      </c>
      <c r="B240" s="8" t="s">
        <v>12</v>
      </c>
      <c r="C240" s="8" t="s">
        <v>688</v>
      </c>
      <c r="D240" s="8" t="s">
        <v>61</v>
      </c>
      <c r="E240" s="9" t="n">
        <v>500</v>
      </c>
      <c r="F240" s="9" t="n">
        <v>300</v>
      </c>
      <c r="G240" s="9" t="n">
        <v>540</v>
      </c>
      <c r="H240" s="9" t="n">
        <v>800</v>
      </c>
      <c r="I240" s="8" t="s">
        <v>128</v>
      </c>
      <c r="J240" s="9"/>
      <c r="K240" s="10" t="str">
        <f aca="false">IF(AND(ISNUMBER(J240),E240&gt;0),J240/E240-1,"")</f>
        <v/>
      </c>
      <c r="L240" s="11"/>
      <c r="M240" s="12"/>
      <c r="N240" s="13" t="n">
        <f aca="false">IF(L240="Своя ціна",M240,IF(L240="Прийняти",IF(ISNUMBER(J240),J240,E240),E240))</f>
        <v>500</v>
      </c>
      <c r="O240" s="8"/>
      <c r="P240" s="14" t="s">
        <v>689</v>
      </c>
    </row>
    <row r="241" customFormat="false" ht="32.8" hidden="false" customHeight="false" outlineLevel="0" collapsed="false">
      <c r="A241" s="8" t="s">
        <v>12</v>
      </c>
      <c r="B241" s="8" t="s">
        <v>12</v>
      </c>
      <c r="C241" s="8" t="s">
        <v>690</v>
      </c>
      <c r="D241" s="8" t="s">
        <v>61</v>
      </c>
      <c r="E241" s="9" t="n">
        <v>4000</v>
      </c>
      <c r="F241" s="9" t="n">
        <v>2700</v>
      </c>
      <c r="G241" s="9" t="n">
        <v>4150</v>
      </c>
      <c r="H241" s="9" t="n">
        <v>6500</v>
      </c>
      <c r="I241" s="8" t="s">
        <v>128</v>
      </c>
      <c r="J241" s="9"/>
      <c r="K241" s="10" t="str">
        <f aca="false">IF(AND(ISNUMBER(J241),E241&gt;0),J241/E241-1,"")</f>
        <v/>
      </c>
      <c r="L241" s="11"/>
      <c r="M241" s="12"/>
      <c r="N241" s="13" t="n">
        <f aca="false">IF(L241="Своя ціна",M241,IF(L241="Прийняти",IF(ISNUMBER(J241),J241,E241),E241))</f>
        <v>4000</v>
      </c>
      <c r="O241" s="8" t="s">
        <v>691</v>
      </c>
      <c r="P241" s="14" t="s">
        <v>692</v>
      </c>
    </row>
    <row r="242" customFormat="false" ht="116.4" hidden="false" customHeight="false" outlineLevel="0" collapsed="false">
      <c r="A242" s="8" t="s">
        <v>12</v>
      </c>
      <c r="B242" s="8" t="s">
        <v>12</v>
      </c>
      <c r="C242" s="8" t="s">
        <v>693</v>
      </c>
      <c r="D242" s="8" t="s">
        <v>61</v>
      </c>
      <c r="E242" s="9" t="n">
        <v>2500</v>
      </c>
      <c r="F242" s="9" t="n">
        <v>1200</v>
      </c>
      <c r="G242" s="9" t="n">
        <v>2250</v>
      </c>
      <c r="H242" s="9" t="n">
        <v>3200</v>
      </c>
      <c r="I242" s="8" t="s">
        <v>128</v>
      </c>
      <c r="J242" s="9"/>
      <c r="K242" s="10" t="str">
        <f aca="false">IF(AND(ISNUMBER(J242),E242&gt;0),J242/E242-1,"")</f>
        <v/>
      </c>
      <c r="L242" s="11"/>
      <c r="M242" s="12"/>
      <c r="N242" s="13" t="n">
        <f aca="false">IF(L242="Своя ціна",M242,IF(L242="Прийняти",IF(ISNUMBER(J242),J242,E242),E242))</f>
        <v>2500</v>
      </c>
      <c r="O242" s="8"/>
      <c r="P242" s="14" t="s">
        <v>694</v>
      </c>
    </row>
    <row r="243" customFormat="false" ht="95.5" hidden="false" customHeight="false" outlineLevel="0" collapsed="false">
      <c r="A243" s="8" t="s">
        <v>12</v>
      </c>
      <c r="B243" s="8" t="s">
        <v>12</v>
      </c>
      <c r="C243" s="8" t="s">
        <v>695</v>
      </c>
      <c r="D243" s="8" t="s">
        <v>61</v>
      </c>
      <c r="E243" s="9" t="n">
        <v>1000</v>
      </c>
      <c r="F243" s="9" t="n">
        <v>500</v>
      </c>
      <c r="G243" s="9" t="n">
        <v>850</v>
      </c>
      <c r="H243" s="9" t="n">
        <v>1350</v>
      </c>
      <c r="I243" s="8" t="s">
        <v>128</v>
      </c>
      <c r="J243" s="9"/>
      <c r="K243" s="10" t="str">
        <f aca="false">IF(AND(ISNUMBER(J243),E243&gt;0),J243/E243-1,"")</f>
        <v/>
      </c>
      <c r="L243" s="11"/>
      <c r="M243" s="12"/>
      <c r="N243" s="13" t="n">
        <f aca="false">IF(L243="Своя ціна",M243,IF(L243="Прийняти",IF(ISNUMBER(J243),J243,E243),E243))</f>
        <v>1000</v>
      </c>
      <c r="O243" s="8" t="s">
        <v>696</v>
      </c>
      <c r="P243" s="14" t="s">
        <v>697</v>
      </c>
    </row>
    <row r="244" customFormat="false" ht="85.05" hidden="false" customHeight="false" outlineLevel="0" collapsed="false">
      <c r="A244" s="8" t="s">
        <v>12</v>
      </c>
      <c r="B244" s="8" t="s">
        <v>12</v>
      </c>
      <c r="C244" s="8" t="s">
        <v>698</v>
      </c>
      <c r="D244" s="8" t="s">
        <v>61</v>
      </c>
      <c r="E244" s="9" t="n">
        <v>1350</v>
      </c>
      <c r="F244" s="9" t="n">
        <v>900</v>
      </c>
      <c r="G244" s="9" t="n">
        <v>1400</v>
      </c>
      <c r="H244" s="9" t="n">
        <v>2500</v>
      </c>
      <c r="I244" s="8" t="s">
        <v>128</v>
      </c>
      <c r="J244" s="9"/>
      <c r="K244" s="10" t="str">
        <f aca="false">IF(AND(ISNUMBER(J244),E244&gt;0),J244/E244-1,"")</f>
        <v/>
      </c>
      <c r="L244" s="11"/>
      <c r="M244" s="12"/>
      <c r="N244" s="13" t="n">
        <f aca="false">IF(L244="Своя ціна",M244,IF(L244="Прийняти",IF(ISNUMBER(J244),J244,E244),E244))</f>
        <v>1350</v>
      </c>
      <c r="O244" s="8"/>
      <c r="P244" s="14" t="s">
        <v>699</v>
      </c>
    </row>
    <row r="245" customFormat="false" ht="95.5" hidden="false" customHeight="false" outlineLevel="0" collapsed="false">
      <c r="A245" s="8" t="s">
        <v>12</v>
      </c>
      <c r="B245" s="8" t="s">
        <v>12</v>
      </c>
      <c r="C245" s="8" t="s">
        <v>700</v>
      </c>
      <c r="D245" s="8" t="s">
        <v>61</v>
      </c>
      <c r="E245" s="9" t="n">
        <v>950</v>
      </c>
      <c r="F245" s="9" t="n">
        <v>600</v>
      </c>
      <c r="G245" s="9" t="n">
        <v>1050</v>
      </c>
      <c r="H245" s="9" t="n">
        <v>1500</v>
      </c>
      <c r="I245" s="8" t="s">
        <v>128</v>
      </c>
      <c r="J245" s="9"/>
      <c r="K245" s="10" t="str">
        <f aca="false">IF(AND(ISNUMBER(J245),E245&gt;0),J245/E245-1,"")</f>
        <v/>
      </c>
      <c r="L245" s="11"/>
      <c r="M245" s="12"/>
      <c r="N245" s="13" t="n">
        <f aca="false">IF(L245="Своя ціна",M245,IF(L245="Прийняти",IF(ISNUMBER(J245),J245,E245),E245))</f>
        <v>950</v>
      </c>
      <c r="O245" s="8"/>
      <c r="P245" s="14" t="s">
        <v>701</v>
      </c>
    </row>
    <row r="246" customFormat="false" ht="116.4" hidden="false" customHeight="false" outlineLevel="0" collapsed="false">
      <c r="A246" s="8" t="s">
        <v>12</v>
      </c>
      <c r="B246" s="8" t="s">
        <v>12</v>
      </c>
      <c r="C246" s="8" t="s">
        <v>702</v>
      </c>
      <c r="D246" s="8" t="s">
        <v>61</v>
      </c>
      <c r="E246" s="9" t="n">
        <v>1400</v>
      </c>
      <c r="F246" s="9" t="n">
        <v>950</v>
      </c>
      <c r="G246" s="9" t="n">
        <v>1400</v>
      </c>
      <c r="H246" s="9" t="n">
        <v>2200</v>
      </c>
      <c r="I246" s="8" t="s">
        <v>128</v>
      </c>
      <c r="J246" s="9"/>
      <c r="K246" s="10" t="str">
        <f aca="false">IF(AND(ISNUMBER(J246),E246&gt;0),J246/E246-1,"")</f>
        <v/>
      </c>
      <c r="L246" s="11"/>
      <c r="M246" s="12"/>
      <c r="N246" s="13" t="n">
        <f aca="false">IF(L246="Своя ціна",M246,IF(L246="Прийняти",IF(ISNUMBER(J246),J246,E246),E246))</f>
        <v>1400</v>
      </c>
      <c r="O246" s="8"/>
      <c r="P246" s="14" t="s">
        <v>703</v>
      </c>
    </row>
    <row r="247" customFormat="false" ht="74.6" hidden="false" customHeight="false" outlineLevel="0" collapsed="false">
      <c r="A247" s="8" t="s">
        <v>12</v>
      </c>
      <c r="B247" s="8" t="s">
        <v>12</v>
      </c>
      <c r="C247" s="8" t="s">
        <v>704</v>
      </c>
      <c r="D247" s="8" t="s">
        <v>49</v>
      </c>
      <c r="E247" s="9" t="n">
        <v>370</v>
      </c>
      <c r="F247" s="9" t="n">
        <v>200</v>
      </c>
      <c r="G247" s="9" t="n">
        <v>340</v>
      </c>
      <c r="H247" s="9" t="n">
        <v>550</v>
      </c>
      <c r="I247" s="8" t="s">
        <v>128</v>
      </c>
      <c r="J247" s="9"/>
      <c r="K247" s="10" t="str">
        <f aca="false">IF(AND(ISNUMBER(J247),E247&gt;0),J247/E247-1,"")</f>
        <v/>
      </c>
      <c r="L247" s="11"/>
      <c r="M247" s="12"/>
      <c r="N247" s="13" t="n">
        <f aca="false">IF(L247="Своя ціна",M247,IF(L247="Прийняти",IF(ISNUMBER(J247),J247,E247),E247))</f>
        <v>370</v>
      </c>
      <c r="O247" s="8" t="s">
        <v>705</v>
      </c>
      <c r="P247" s="14" t="s">
        <v>706</v>
      </c>
    </row>
    <row r="248" customFormat="false" ht="74.6" hidden="false" customHeight="false" outlineLevel="0" collapsed="false">
      <c r="A248" s="8" t="s">
        <v>12</v>
      </c>
      <c r="B248" s="8" t="s">
        <v>12</v>
      </c>
      <c r="C248" s="8" t="s">
        <v>707</v>
      </c>
      <c r="D248" s="8" t="s">
        <v>49</v>
      </c>
      <c r="E248" s="9" t="n">
        <v>300</v>
      </c>
      <c r="F248" s="9" t="n">
        <v>120</v>
      </c>
      <c r="G248" s="9" t="n">
        <v>255</v>
      </c>
      <c r="H248" s="9" t="n">
        <v>400</v>
      </c>
      <c r="I248" s="8" t="s">
        <v>128</v>
      </c>
      <c r="J248" s="9" t="n">
        <v>260</v>
      </c>
      <c r="K248" s="10" t="n">
        <f aca="false">IF(AND(ISNUMBER(J248),E248&gt;0),J248/E248-1,"")</f>
        <v>-0.133333333333333</v>
      </c>
      <c r="L248" s="11"/>
      <c r="M248" s="12"/>
      <c r="N248" s="13" t="n">
        <f aca="false">IF(L248="Своя ціна",M248,IF(L248="Прийняти",IF(ISNUMBER(J248),J248,E248),E248))</f>
        <v>300</v>
      </c>
      <c r="O248" s="8" t="s">
        <v>708</v>
      </c>
      <c r="P248" s="14" t="s">
        <v>709</v>
      </c>
    </row>
    <row r="249" customFormat="false" ht="46.25" hidden="false" customHeight="false" outlineLevel="0" collapsed="false">
      <c r="A249" s="8" t="s">
        <v>13</v>
      </c>
      <c r="B249" s="8" t="s">
        <v>710</v>
      </c>
      <c r="C249" s="8" t="s">
        <v>711</v>
      </c>
      <c r="D249" s="8" t="s">
        <v>712</v>
      </c>
      <c r="E249" s="9" t="n">
        <v>750</v>
      </c>
      <c r="F249" s="9" t="n">
        <v>2000</v>
      </c>
      <c r="G249" s="9" t="n">
        <v>2600</v>
      </c>
      <c r="H249" s="9" t="n">
        <v>3500</v>
      </c>
      <c r="I249" s="8" t="s">
        <v>42</v>
      </c>
      <c r="J249" s="9"/>
      <c r="K249" s="10" t="str">
        <f aca="false">IF(AND(ISNUMBER(J249),E249&gt;0),J249/E249-1,"")</f>
        <v/>
      </c>
      <c r="L249" s="11"/>
      <c r="M249" s="12"/>
      <c r="N249" s="13" t="n">
        <f aca="false">IF(L249="Своя ціна",M249,IF(L249="Прийняти",IF(ISNUMBER(J249),J249,E249),E249))</f>
        <v>750</v>
      </c>
      <c r="O249" s="8" t="s">
        <v>713</v>
      </c>
      <c r="P249" s="14" t="s">
        <v>714</v>
      </c>
    </row>
    <row r="250" customFormat="false" ht="53.7" hidden="false" customHeight="false" outlineLevel="0" collapsed="false">
      <c r="A250" s="8" t="s">
        <v>13</v>
      </c>
      <c r="B250" s="8" t="s">
        <v>710</v>
      </c>
      <c r="C250" s="8" t="s">
        <v>715</v>
      </c>
      <c r="D250" s="8" t="s">
        <v>41</v>
      </c>
      <c r="E250" s="9" t="n">
        <v>850</v>
      </c>
      <c r="F250" s="9" t="n">
        <v>700</v>
      </c>
      <c r="G250" s="9" t="n">
        <v>1200</v>
      </c>
      <c r="H250" s="9" t="n">
        <v>1700</v>
      </c>
      <c r="I250" s="8" t="s">
        <v>42</v>
      </c>
      <c r="J250" s="9" t="n">
        <v>1150</v>
      </c>
      <c r="K250" s="10" t="n">
        <f aca="false">IF(AND(ISNUMBER(J250),E250&gt;0),J250/E250-1,"")</f>
        <v>0.352941176470588</v>
      </c>
      <c r="L250" s="11"/>
      <c r="M250" s="12"/>
      <c r="N250" s="13" t="n">
        <f aca="false">IF(L250="Своя ціна",M250,IF(L250="Прийняти",IF(ISNUMBER(J250),J250,E250),E250))</f>
        <v>850</v>
      </c>
      <c r="O250" s="8"/>
      <c r="P250" s="14" t="s">
        <v>716</v>
      </c>
    </row>
    <row r="251" customFormat="false" ht="43.25" hidden="false" customHeight="false" outlineLevel="0" collapsed="false">
      <c r="A251" s="8" t="s">
        <v>13</v>
      </c>
      <c r="B251" s="8" t="s">
        <v>710</v>
      </c>
      <c r="C251" s="8" t="s">
        <v>717</v>
      </c>
      <c r="D251" s="8" t="s">
        <v>41</v>
      </c>
      <c r="E251" s="9" t="n">
        <v>480</v>
      </c>
      <c r="F251" s="9" t="n">
        <v>600</v>
      </c>
      <c r="G251" s="9" t="n">
        <v>660</v>
      </c>
      <c r="H251" s="9" t="n">
        <v>700</v>
      </c>
      <c r="I251" s="8" t="s">
        <v>42</v>
      </c>
      <c r="J251" s="9" t="n">
        <v>650</v>
      </c>
      <c r="K251" s="10" t="n">
        <f aca="false">IF(AND(ISNUMBER(J251),E251&gt;0),J251/E251-1,"")</f>
        <v>0.354166666666667</v>
      </c>
      <c r="L251" s="11"/>
      <c r="M251" s="12"/>
      <c r="N251" s="13" t="n">
        <f aca="false">IF(L251="Своя ціна",M251,IF(L251="Прийняти",IF(ISNUMBER(J251),J251,E251),E251))</f>
        <v>480</v>
      </c>
      <c r="O251" s="8"/>
      <c r="P251" s="14" t="s">
        <v>718</v>
      </c>
    </row>
    <row r="252" customFormat="false" ht="46.25" hidden="false" customHeight="false" outlineLevel="0" collapsed="false">
      <c r="A252" s="8" t="s">
        <v>13</v>
      </c>
      <c r="B252" s="8" t="s">
        <v>710</v>
      </c>
      <c r="C252" s="8" t="s">
        <v>719</v>
      </c>
      <c r="D252" s="8" t="s">
        <v>712</v>
      </c>
      <c r="E252" s="9" t="n">
        <v>3400</v>
      </c>
      <c r="F252" s="9" t="n">
        <v>4000</v>
      </c>
      <c r="G252" s="9" t="n">
        <v>6000</v>
      </c>
      <c r="H252" s="9" t="n">
        <v>6900</v>
      </c>
      <c r="I252" s="8" t="s">
        <v>42</v>
      </c>
      <c r="J252" s="9" t="n">
        <v>5800</v>
      </c>
      <c r="K252" s="10" t="n">
        <f aca="false">IF(AND(ISNUMBER(J252),E252&gt;0),J252/E252-1,"")</f>
        <v>0.705882352941176</v>
      </c>
      <c r="L252" s="11"/>
      <c r="M252" s="12"/>
      <c r="N252" s="13" t="n">
        <f aca="false">IF(L252="Своя ціна",M252,IF(L252="Прийняти",IF(ISNUMBER(J252),J252,E252),E252))</f>
        <v>3400</v>
      </c>
      <c r="O252" s="8" t="s">
        <v>720</v>
      </c>
      <c r="P252" s="14" t="s">
        <v>721</v>
      </c>
    </row>
    <row r="253" customFormat="false" ht="43.25" hidden="false" customHeight="false" outlineLevel="0" collapsed="false">
      <c r="A253" s="8" t="s">
        <v>13</v>
      </c>
      <c r="B253" s="8" t="s">
        <v>710</v>
      </c>
      <c r="C253" s="8" t="s">
        <v>722</v>
      </c>
      <c r="D253" s="8" t="s">
        <v>712</v>
      </c>
      <c r="E253" s="9" t="n">
        <v>4000</v>
      </c>
      <c r="F253" s="9" t="n">
        <v>3850</v>
      </c>
      <c r="G253" s="9" t="n">
        <v>5000</v>
      </c>
      <c r="H253" s="9" t="n">
        <v>6500</v>
      </c>
      <c r="I253" s="8" t="s">
        <v>42</v>
      </c>
      <c r="J253" s="9" t="n">
        <v>5000</v>
      </c>
      <c r="K253" s="10" t="n">
        <f aca="false">IF(AND(ISNUMBER(J253),E253&gt;0),J253/E253-1,"")</f>
        <v>0.25</v>
      </c>
      <c r="L253" s="11"/>
      <c r="M253" s="12"/>
      <c r="N253" s="13" t="n">
        <f aca="false">IF(L253="Своя ціна",M253,IF(L253="Прийняти",IF(ISNUMBER(J253),J253,E253),E253))</f>
        <v>4000</v>
      </c>
      <c r="O253" s="8" t="s">
        <v>723</v>
      </c>
      <c r="P253" s="14" t="s">
        <v>724</v>
      </c>
    </row>
    <row r="254" customFormat="false" ht="53.7" hidden="false" customHeight="false" outlineLevel="0" collapsed="false">
      <c r="A254" s="8" t="s">
        <v>13</v>
      </c>
      <c r="B254" s="8" t="s">
        <v>710</v>
      </c>
      <c r="C254" s="8" t="s">
        <v>725</v>
      </c>
      <c r="D254" s="8" t="s">
        <v>712</v>
      </c>
      <c r="E254" s="9" t="n">
        <v>2300</v>
      </c>
      <c r="F254" s="9" t="n">
        <v>2000</v>
      </c>
      <c r="G254" s="9" t="n">
        <v>2650</v>
      </c>
      <c r="H254" s="9" t="n">
        <v>3500</v>
      </c>
      <c r="I254" s="8" t="s">
        <v>42</v>
      </c>
      <c r="J254" s="9" t="n">
        <v>2600</v>
      </c>
      <c r="K254" s="10" t="n">
        <f aca="false">IF(AND(ISNUMBER(J254),E254&gt;0),J254/E254-1,"")</f>
        <v>0.130434782608696</v>
      </c>
      <c r="L254" s="11"/>
      <c r="M254" s="12"/>
      <c r="N254" s="13" t="n">
        <f aca="false">IF(L254="Своя ціна",M254,IF(L254="Прийняти",IF(ISNUMBER(J254),J254,E254),E254))</f>
        <v>2300</v>
      </c>
      <c r="O254" s="8" t="s">
        <v>726</v>
      </c>
      <c r="P254" s="14" t="s">
        <v>727</v>
      </c>
    </row>
    <row r="255" customFormat="false" ht="43.25" hidden="false" customHeight="false" outlineLevel="0" collapsed="false">
      <c r="A255" s="8" t="s">
        <v>13</v>
      </c>
      <c r="B255" s="8" t="s">
        <v>710</v>
      </c>
      <c r="C255" s="8" t="s">
        <v>728</v>
      </c>
      <c r="D255" s="8" t="s">
        <v>712</v>
      </c>
      <c r="E255" s="9" t="n">
        <v>1900</v>
      </c>
      <c r="F255" s="9" t="n">
        <v>2000</v>
      </c>
      <c r="G255" s="9" t="n">
        <v>2700</v>
      </c>
      <c r="H255" s="9" t="n">
        <v>3500</v>
      </c>
      <c r="I255" s="8" t="s">
        <v>42</v>
      </c>
      <c r="J255" s="9" t="n">
        <v>2600</v>
      </c>
      <c r="K255" s="10" t="n">
        <f aca="false">IF(AND(ISNUMBER(J255),E255&gt;0),J255/E255-1,"")</f>
        <v>0.368421052631579</v>
      </c>
      <c r="L255" s="11"/>
      <c r="M255" s="12"/>
      <c r="N255" s="13" t="n">
        <f aca="false">IF(L255="Своя ціна",M255,IF(L255="Прийняти",IF(ISNUMBER(J255),J255,E255),E255))</f>
        <v>1900</v>
      </c>
      <c r="O255" s="8" t="s">
        <v>729</v>
      </c>
      <c r="P255" s="14" t="s">
        <v>730</v>
      </c>
    </row>
    <row r="256" customFormat="false" ht="64.15" hidden="false" customHeight="false" outlineLevel="0" collapsed="false">
      <c r="A256" s="8" t="s">
        <v>13</v>
      </c>
      <c r="B256" s="8" t="s">
        <v>710</v>
      </c>
      <c r="C256" s="8" t="s">
        <v>731</v>
      </c>
      <c r="D256" s="8" t="s">
        <v>49</v>
      </c>
      <c r="E256" s="9" t="n">
        <v>190</v>
      </c>
      <c r="F256" s="9" t="n">
        <v>200</v>
      </c>
      <c r="G256" s="9" t="n">
        <v>400</v>
      </c>
      <c r="H256" s="9" t="n">
        <v>530</v>
      </c>
      <c r="I256" s="8" t="s">
        <v>42</v>
      </c>
      <c r="J256" s="9" t="n">
        <v>350</v>
      </c>
      <c r="K256" s="10" t="n">
        <f aca="false">IF(AND(ISNUMBER(J256),E256&gt;0),J256/E256-1,"")</f>
        <v>0.842105263157895</v>
      </c>
      <c r="L256" s="11"/>
      <c r="M256" s="12"/>
      <c r="N256" s="13" t="n">
        <f aca="false">IF(L256="Своя ціна",M256,IF(L256="Прийняти",IF(ISNUMBER(J256),J256,E256),E256))</f>
        <v>190</v>
      </c>
      <c r="O256" s="8"/>
      <c r="P256" s="14" t="s">
        <v>732</v>
      </c>
    </row>
    <row r="257" customFormat="false" ht="64.15" hidden="false" customHeight="false" outlineLevel="0" collapsed="false">
      <c r="A257" s="8" t="s">
        <v>13</v>
      </c>
      <c r="B257" s="8" t="s">
        <v>710</v>
      </c>
      <c r="C257" s="8" t="s">
        <v>733</v>
      </c>
      <c r="D257" s="8" t="s">
        <v>41</v>
      </c>
      <c r="E257" s="9" t="n">
        <v>135</v>
      </c>
      <c r="F257" s="9" t="n">
        <v>150</v>
      </c>
      <c r="G257" s="9" t="n">
        <v>175</v>
      </c>
      <c r="H257" s="9" t="n">
        <v>210</v>
      </c>
      <c r="I257" s="8" t="s">
        <v>42</v>
      </c>
      <c r="J257" s="9" t="n">
        <v>170</v>
      </c>
      <c r="K257" s="10" t="n">
        <f aca="false">IF(AND(ISNUMBER(J257),E257&gt;0),J257/E257-1,"")</f>
        <v>0.259259259259259</v>
      </c>
      <c r="L257" s="11"/>
      <c r="M257" s="12"/>
      <c r="N257" s="13" t="n">
        <f aca="false">IF(L257="Своя ціна",M257,IF(L257="Прийняти",IF(ISNUMBER(J257),J257,E257),E257))</f>
        <v>135</v>
      </c>
      <c r="O257" s="8" t="s">
        <v>734</v>
      </c>
      <c r="P257" s="14" t="s">
        <v>735</v>
      </c>
    </row>
    <row r="258" customFormat="false" ht="64.15" hidden="false" customHeight="false" outlineLevel="0" collapsed="false">
      <c r="A258" s="8" t="s">
        <v>13</v>
      </c>
      <c r="B258" s="8" t="s">
        <v>710</v>
      </c>
      <c r="C258" s="8" t="s">
        <v>736</v>
      </c>
      <c r="D258" s="8" t="s">
        <v>41</v>
      </c>
      <c r="E258" s="9" t="n">
        <v>100</v>
      </c>
      <c r="F258" s="9" t="n">
        <v>350</v>
      </c>
      <c r="G258" s="9" t="n">
        <v>612</v>
      </c>
      <c r="H258" s="9" t="n">
        <v>900</v>
      </c>
      <c r="I258" s="8" t="s">
        <v>42</v>
      </c>
      <c r="J258" s="9" t="n">
        <v>600</v>
      </c>
      <c r="K258" s="10" t="n">
        <f aca="false">IF(AND(ISNUMBER(J258),E258&gt;0),J258/E258-1,"")</f>
        <v>5</v>
      </c>
      <c r="L258" s="11"/>
      <c r="M258" s="12"/>
      <c r="N258" s="13" t="n">
        <f aca="false">IF(L258="Своя ціна",M258,IF(L258="Прийняти",IF(ISNUMBER(J258),J258,E258),E258))</f>
        <v>100</v>
      </c>
      <c r="O258" s="8" t="s">
        <v>737</v>
      </c>
      <c r="P258" s="14" t="s">
        <v>738</v>
      </c>
    </row>
    <row r="259" customFormat="false" ht="64.15" hidden="false" customHeight="false" outlineLevel="0" collapsed="false">
      <c r="A259" s="8" t="s">
        <v>13</v>
      </c>
      <c r="B259" s="8" t="s">
        <v>710</v>
      </c>
      <c r="C259" s="8" t="s">
        <v>739</v>
      </c>
      <c r="D259" s="8" t="s">
        <v>41</v>
      </c>
      <c r="E259" s="9" t="n">
        <v>145</v>
      </c>
      <c r="F259" s="9" t="n">
        <v>250</v>
      </c>
      <c r="G259" s="9" t="n">
        <v>320</v>
      </c>
      <c r="H259" s="9" t="n">
        <v>460</v>
      </c>
      <c r="I259" s="8" t="s">
        <v>42</v>
      </c>
      <c r="J259" s="9" t="n">
        <v>320</v>
      </c>
      <c r="K259" s="10" t="n">
        <f aca="false">IF(AND(ISNUMBER(J259),E259&gt;0),J259/E259-1,"")</f>
        <v>1.20689655172414</v>
      </c>
      <c r="L259" s="11"/>
      <c r="M259" s="12"/>
      <c r="N259" s="13" t="n">
        <f aca="false">IF(L259="Своя ціна",M259,IF(L259="Прийняти",IF(ISNUMBER(J259),J259,E259),E259))</f>
        <v>145</v>
      </c>
      <c r="O259" s="8"/>
      <c r="P259" s="14" t="s">
        <v>740</v>
      </c>
    </row>
    <row r="260" customFormat="false" ht="43.25" hidden="false" customHeight="false" outlineLevel="0" collapsed="false">
      <c r="A260" s="8" t="s">
        <v>13</v>
      </c>
      <c r="B260" s="8" t="s">
        <v>710</v>
      </c>
      <c r="C260" s="8" t="s">
        <v>741</v>
      </c>
      <c r="D260" s="8" t="s">
        <v>712</v>
      </c>
      <c r="E260" s="9" t="n">
        <v>250</v>
      </c>
      <c r="F260" s="9" t="n">
        <v>750</v>
      </c>
      <c r="G260" s="9" t="n">
        <v>900</v>
      </c>
      <c r="H260" s="9" t="n">
        <v>1020</v>
      </c>
      <c r="I260" s="8" t="s">
        <v>42</v>
      </c>
      <c r="J260" s="9" t="n">
        <v>900</v>
      </c>
      <c r="K260" s="10" t="n">
        <f aca="false">IF(AND(ISNUMBER(J260),E260&gt;0),J260/E260-1,"")</f>
        <v>2.6</v>
      </c>
      <c r="L260" s="11"/>
      <c r="M260" s="12"/>
      <c r="N260" s="13" t="n">
        <f aca="false">IF(L260="Своя ціна",M260,IF(L260="Прийняти",IF(ISNUMBER(J260),J260,E260),E260))</f>
        <v>250</v>
      </c>
      <c r="O260" s="8" t="s">
        <v>742</v>
      </c>
      <c r="P260" s="14" t="s">
        <v>743</v>
      </c>
    </row>
    <row r="261" customFormat="false" ht="43.25" hidden="false" customHeight="false" outlineLevel="0" collapsed="false">
      <c r="A261" s="8" t="s">
        <v>13</v>
      </c>
      <c r="B261" s="8" t="s">
        <v>744</v>
      </c>
      <c r="C261" s="8" t="s">
        <v>745</v>
      </c>
      <c r="D261" s="8" t="s">
        <v>41</v>
      </c>
      <c r="E261" s="9" t="n">
        <v>1167</v>
      </c>
      <c r="F261" s="9" t="n">
        <v>1350</v>
      </c>
      <c r="G261" s="9" t="n">
        <v>1430</v>
      </c>
      <c r="H261" s="9" t="n">
        <v>1600</v>
      </c>
      <c r="I261" s="8" t="s">
        <v>42</v>
      </c>
      <c r="J261" s="9" t="n">
        <v>1400</v>
      </c>
      <c r="K261" s="10" t="n">
        <f aca="false">IF(AND(ISNUMBER(J261),E261&gt;0),J261/E261-1,"")</f>
        <v>0.199657240788346</v>
      </c>
      <c r="L261" s="11"/>
      <c r="M261" s="12"/>
      <c r="N261" s="13" t="n">
        <f aca="false">IF(L261="Своя ціна",M261,IF(L261="Прийняти",IF(ISNUMBER(J261),J261,E261),E261))</f>
        <v>1167</v>
      </c>
      <c r="O261" s="8"/>
      <c r="P261" s="14" t="s">
        <v>746</v>
      </c>
    </row>
    <row r="262" customFormat="false" ht="64.15" hidden="false" customHeight="false" outlineLevel="0" collapsed="false">
      <c r="A262" s="8" t="s">
        <v>13</v>
      </c>
      <c r="B262" s="8" t="s">
        <v>744</v>
      </c>
      <c r="C262" s="8" t="s">
        <v>747</v>
      </c>
      <c r="D262" s="8" t="s">
        <v>61</v>
      </c>
      <c r="E262" s="9" t="n">
        <v>200</v>
      </c>
      <c r="F262" s="9" t="n">
        <v>350</v>
      </c>
      <c r="G262" s="9" t="n">
        <v>620</v>
      </c>
      <c r="H262" s="9" t="n">
        <v>1020</v>
      </c>
      <c r="I262" s="8" t="s">
        <v>42</v>
      </c>
      <c r="J262" s="9" t="n">
        <v>550</v>
      </c>
      <c r="K262" s="10" t="n">
        <f aca="false">IF(AND(ISNUMBER(J262),E262&gt;0),J262/E262-1,"")</f>
        <v>1.75</v>
      </c>
      <c r="L262" s="11"/>
      <c r="M262" s="12"/>
      <c r="N262" s="13" t="n">
        <f aca="false">IF(L262="Своя ціна",M262,IF(L262="Прийняти",IF(ISNUMBER(J262),J262,E262),E262))</f>
        <v>200</v>
      </c>
      <c r="O262" s="8"/>
      <c r="P262" s="14" t="s">
        <v>748</v>
      </c>
    </row>
    <row r="263" customFormat="false" ht="74.6" hidden="false" customHeight="false" outlineLevel="0" collapsed="false">
      <c r="A263" s="8" t="s">
        <v>13</v>
      </c>
      <c r="B263" s="8" t="s">
        <v>744</v>
      </c>
      <c r="C263" s="8" t="s">
        <v>749</v>
      </c>
      <c r="D263" s="8" t="s">
        <v>61</v>
      </c>
      <c r="E263" s="9" t="n">
        <v>250</v>
      </c>
      <c r="F263" s="9" t="n">
        <v>150</v>
      </c>
      <c r="G263" s="9" t="n">
        <v>450</v>
      </c>
      <c r="H263" s="9" t="n">
        <v>700</v>
      </c>
      <c r="I263" s="8" t="s">
        <v>42</v>
      </c>
      <c r="J263" s="9" t="n">
        <v>400</v>
      </c>
      <c r="K263" s="10" t="n">
        <f aca="false">IF(AND(ISNUMBER(J263),E263&gt;0),J263/E263-1,"")</f>
        <v>0.6</v>
      </c>
      <c r="L263" s="11"/>
      <c r="M263" s="12"/>
      <c r="N263" s="13" t="n">
        <f aca="false">IF(L263="Своя ціна",M263,IF(L263="Прийняти",IF(ISNUMBER(J263),J263,E263),E263))</f>
        <v>250</v>
      </c>
      <c r="O263" s="8" t="s">
        <v>750</v>
      </c>
      <c r="P263" s="14" t="s">
        <v>751</v>
      </c>
    </row>
    <row r="264" customFormat="false" ht="85.05" hidden="false" customHeight="false" outlineLevel="0" collapsed="false">
      <c r="A264" s="8" t="s">
        <v>13</v>
      </c>
      <c r="B264" s="8" t="s">
        <v>744</v>
      </c>
      <c r="C264" s="8" t="s">
        <v>752</v>
      </c>
      <c r="D264" s="8" t="s">
        <v>41</v>
      </c>
      <c r="E264" s="9" t="n">
        <v>60</v>
      </c>
      <c r="F264" s="9" t="n">
        <v>100</v>
      </c>
      <c r="G264" s="9" t="n">
        <v>150</v>
      </c>
      <c r="H264" s="9" t="n">
        <v>300</v>
      </c>
      <c r="I264" s="8" t="s">
        <v>42</v>
      </c>
      <c r="J264" s="9" t="n">
        <v>150</v>
      </c>
      <c r="K264" s="10" t="n">
        <f aca="false">IF(AND(ISNUMBER(J264),E264&gt;0),J264/E264-1,"")</f>
        <v>1.5</v>
      </c>
      <c r="L264" s="11"/>
      <c r="M264" s="12"/>
      <c r="N264" s="13" t="n">
        <f aca="false">IF(L264="Своя ціна",M264,IF(L264="Прийняти",IF(ISNUMBER(J264),J264,E264),E264))</f>
        <v>60</v>
      </c>
      <c r="O264" s="8" t="s">
        <v>753</v>
      </c>
      <c r="P264" s="14" t="s">
        <v>754</v>
      </c>
    </row>
    <row r="265" customFormat="false" ht="95.5" hidden="false" customHeight="false" outlineLevel="0" collapsed="false">
      <c r="A265" s="8" t="s">
        <v>13</v>
      </c>
      <c r="B265" s="8" t="s">
        <v>744</v>
      </c>
      <c r="C265" s="8" t="s">
        <v>755</v>
      </c>
      <c r="D265" s="8" t="s">
        <v>41</v>
      </c>
      <c r="E265" s="9" t="n">
        <v>25</v>
      </c>
      <c r="F265" s="9" t="n">
        <v>50</v>
      </c>
      <c r="G265" s="9" t="n">
        <v>110</v>
      </c>
      <c r="H265" s="9" t="n">
        <v>160</v>
      </c>
      <c r="I265" s="8" t="s">
        <v>42</v>
      </c>
      <c r="J265" s="9" t="n">
        <v>100</v>
      </c>
      <c r="K265" s="10" t="n">
        <f aca="false">IF(AND(ISNUMBER(J265),E265&gt;0),J265/E265-1,"")</f>
        <v>3</v>
      </c>
      <c r="L265" s="11"/>
      <c r="M265" s="12"/>
      <c r="N265" s="13" t="n">
        <f aca="false">IF(L265="Своя ціна",M265,IF(L265="Прийняти",IF(ISNUMBER(J265),J265,E265),E265))</f>
        <v>25</v>
      </c>
      <c r="O265" s="8" t="s">
        <v>756</v>
      </c>
      <c r="P265" s="14" t="s">
        <v>757</v>
      </c>
    </row>
    <row r="266" customFormat="false" ht="105.95" hidden="false" customHeight="false" outlineLevel="0" collapsed="false">
      <c r="A266" s="8" t="s">
        <v>13</v>
      </c>
      <c r="B266" s="8" t="s">
        <v>744</v>
      </c>
      <c r="C266" s="8" t="s">
        <v>758</v>
      </c>
      <c r="D266" s="8" t="s">
        <v>61</v>
      </c>
      <c r="E266" s="9" t="n">
        <v>150</v>
      </c>
      <c r="F266" s="9" t="n">
        <v>150</v>
      </c>
      <c r="G266" s="9" t="n">
        <v>450</v>
      </c>
      <c r="H266" s="9" t="n">
        <v>600</v>
      </c>
      <c r="I266" s="8" t="s">
        <v>42</v>
      </c>
      <c r="J266" s="9" t="n">
        <v>400</v>
      </c>
      <c r="K266" s="10" t="n">
        <f aca="false">IF(AND(ISNUMBER(J266),E266&gt;0),J266/E266-1,"")</f>
        <v>1.66666666666667</v>
      </c>
      <c r="L266" s="11"/>
      <c r="M266" s="12"/>
      <c r="N266" s="13" t="n">
        <f aca="false">IF(L266="Своя ціна",M266,IF(L266="Прийняти",IF(ISNUMBER(J266),J266,E266),E266))</f>
        <v>150</v>
      </c>
      <c r="O266" s="8" t="s">
        <v>753</v>
      </c>
      <c r="P266" s="14" t="s">
        <v>759</v>
      </c>
    </row>
    <row r="267" customFormat="false" ht="95.5" hidden="false" customHeight="false" outlineLevel="0" collapsed="false">
      <c r="A267" s="8" t="s">
        <v>13</v>
      </c>
      <c r="B267" s="8" t="s">
        <v>744</v>
      </c>
      <c r="C267" s="8" t="s">
        <v>760</v>
      </c>
      <c r="D267" s="8" t="s">
        <v>41</v>
      </c>
      <c r="E267" s="9" t="n">
        <v>60</v>
      </c>
      <c r="F267" s="9" t="n">
        <v>100</v>
      </c>
      <c r="G267" s="9" t="n">
        <v>150</v>
      </c>
      <c r="H267" s="9" t="n">
        <v>300</v>
      </c>
      <c r="I267" s="8" t="s">
        <v>42</v>
      </c>
      <c r="J267" s="9" t="n">
        <v>140</v>
      </c>
      <c r="K267" s="10" t="n">
        <f aca="false">IF(AND(ISNUMBER(J267),E267&gt;0),J267/E267-1,"")</f>
        <v>1.33333333333333</v>
      </c>
      <c r="L267" s="11"/>
      <c r="M267" s="12"/>
      <c r="N267" s="13" t="n">
        <f aca="false">IF(L267="Своя ціна",M267,IF(L267="Прийняти",IF(ISNUMBER(J267),J267,E267),E267))</f>
        <v>60</v>
      </c>
      <c r="O267" s="8" t="s">
        <v>761</v>
      </c>
      <c r="P267" s="14" t="s">
        <v>762</v>
      </c>
    </row>
    <row r="268" customFormat="false" ht="85.05" hidden="false" customHeight="false" outlineLevel="0" collapsed="false">
      <c r="A268" s="8" t="s">
        <v>13</v>
      </c>
      <c r="B268" s="8" t="s">
        <v>744</v>
      </c>
      <c r="C268" s="8" t="s">
        <v>763</v>
      </c>
      <c r="D268" s="8" t="s">
        <v>41</v>
      </c>
      <c r="E268" s="9" t="n">
        <v>60</v>
      </c>
      <c r="F268" s="9" t="n">
        <v>130</v>
      </c>
      <c r="G268" s="9" t="n">
        <v>200</v>
      </c>
      <c r="H268" s="9" t="n">
        <v>250</v>
      </c>
      <c r="I268" s="8" t="s">
        <v>42</v>
      </c>
      <c r="J268" s="9" t="n">
        <v>200</v>
      </c>
      <c r="K268" s="10" t="n">
        <f aca="false">IF(AND(ISNUMBER(J268),E268&gt;0),J268/E268-1,"")</f>
        <v>2.33333333333333</v>
      </c>
      <c r="L268" s="11"/>
      <c r="M268" s="12"/>
      <c r="N268" s="13" t="n">
        <f aca="false">IF(L268="Своя ціна",M268,IF(L268="Прийняти",IF(ISNUMBER(J268),J268,E268),E268))</f>
        <v>60</v>
      </c>
      <c r="O268" s="8"/>
      <c r="P268" s="14" t="s">
        <v>764</v>
      </c>
    </row>
    <row r="269" customFormat="false" ht="126.85" hidden="false" customHeight="false" outlineLevel="0" collapsed="false">
      <c r="A269" s="8" t="s">
        <v>13</v>
      </c>
      <c r="B269" s="8" t="s">
        <v>744</v>
      </c>
      <c r="C269" s="8" t="s">
        <v>765</v>
      </c>
      <c r="D269" s="8" t="s">
        <v>41</v>
      </c>
      <c r="E269" s="9" t="n">
        <v>70</v>
      </c>
      <c r="F269" s="9" t="n">
        <v>150</v>
      </c>
      <c r="G269" s="9" t="n">
        <v>240</v>
      </c>
      <c r="H269" s="9" t="n">
        <v>330</v>
      </c>
      <c r="I269" s="8" t="s">
        <v>42</v>
      </c>
      <c r="J269" s="9" t="n">
        <v>230</v>
      </c>
      <c r="K269" s="10" t="n">
        <f aca="false">IF(AND(ISNUMBER(J269),E269&gt;0),J269/E269-1,"")</f>
        <v>2.28571428571429</v>
      </c>
      <c r="L269" s="11"/>
      <c r="M269" s="12"/>
      <c r="N269" s="13" t="n">
        <f aca="false">IF(L269="Своя ціна",M269,IF(L269="Прийняти",IF(ISNUMBER(J269),J269,E269),E269))</f>
        <v>70</v>
      </c>
      <c r="O269" s="8" t="s">
        <v>753</v>
      </c>
      <c r="P269" s="14" t="s">
        <v>766</v>
      </c>
    </row>
    <row r="270" customFormat="false" ht="105.95" hidden="false" customHeight="false" outlineLevel="0" collapsed="false">
      <c r="A270" s="8" t="s">
        <v>13</v>
      </c>
      <c r="B270" s="8" t="s">
        <v>744</v>
      </c>
      <c r="C270" s="8" t="s">
        <v>767</v>
      </c>
      <c r="D270" s="8" t="s">
        <v>41</v>
      </c>
      <c r="E270" s="9" t="n">
        <v>60</v>
      </c>
      <c r="F270" s="9" t="n">
        <v>85</v>
      </c>
      <c r="G270" s="9" t="n">
        <v>180</v>
      </c>
      <c r="H270" s="9" t="n">
        <v>300</v>
      </c>
      <c r="I270" s="8" t="s">
        <v>42</v>
      </c>
      <c r="J270" s="9" t="n">
        <v>170</v>
      </c>
      <c r="K270" s="10" t="n">
        <f aca="false">IF(AND(ISNUMBER(J270),E270&gt;0),J270/E270-1,"")</f>
        <v>1.83333333333333</v>
      </c>
      <c r="L270" s="11"/>
      <c r="M270" s="12"/>
      <c r="N270" s="13" t="n">
        <f aca="false">IF(L270="Своя ціна",M270,IF(L270="Прийняти",IF(ISNUMBER(J270),J270,E270),E270))</f>
        <v>60</v>
      </c>
      <c r="O270" s="8" t="s">
        <v>768</v>
      </c>
      <c r="P270" s="14" t="s">
        <v>769</v>
      </c>
    </row>
    <row r="271" customFormat="false" ht="64.15" hidden="false" customHeight="false" outlineLevel="0" collapsed="false">
      <c r="A271" s="8" t="s">
        <v>13</v>
      </c>
      <c r="B271" s="8" t="s">
        <v>744</v>
      </c>
      <c r="C271" s="8" t="s">
        <v>770</v>
      </c>
      <c r="D271" s="8" t="s">
        <v>61</v>
      </c>
      <c r="E271" s="9" t="n">
        <v>100</v>
      </c>
      <c r="F271" s="9" t="n">
        <v>230</v>
      </c>
      <c r="G271" s="9" t="n">
        <v>300</v>
      </c>
      <c r="H271" s="9" t="n">
        <v>500</v>
      </c>
      <c r="I271" s="8" t="s">
        <v>42</v>
      </c>
      <c r="J271" s="9" t="n">
        <v>300</v>
      </c>
      <c r="K271" s="10" t="n">
        <f aca="false">IF(AND(ISNUMBER(J271),E271&gt;0),J271/E271-1,"")</f>
        <v>2</v>
      </c>
      <c r="L271" s="11"/>
      <c r="M271" s="12"/>
      <c r="N271" s="13" t="n">
        <f aca="false">IF(L271="Своя ціна",M271,IF(L271="Прийняти",IF(ISNUMBER(J271),J271,E271),E271))</f>
        <v>100</v>
      </c>
      <c r="O271" s="8"/>
      <c r="P271" s="14" t="s">
        <v>771</v>
      </c>
    </row>
    <row r="272" customFormat="false" ht="116.4" hidden="false" customHeight="false" outlineLevel="0" collapsed="false">
      <c r="A272" s="8" t="s">
        <v>13</v>
      </c>
      <c r="B272" s="8" t="s">
        <v>744</v>
      </c>
      <c r="C272" s="8" t="s">
        <v>772</v>
      </c>
      <c r="D272" s="8" t="s">
        <v>41</v>
      </c>
      <c r="E272" s="9" t="n">
        <v>65</v>
      </c>
      <c r="F272" s="9" t="n">
        <v>100</v>
      </c>
      <c r="G272" s="9" t="n">
        <v>180</v>
      </c>
      <c r="H272" s="9" t="n">
        <v>330</v>
      </c>
      <c r="I272" s="8" t="s">
        <v>42</v>
      </c>
      <c r="J272" s="9" t="n">
        <v>180</v>
      </c>
      <c r="K272" s="10" t="n">
        <f aca="false">IF(AND(ISNUMBER(J272),E272&gt;0),J272/E272-1,"")</f>
        <v>1.76923076923077</v>
      </c>
      <c r="L272" s="11"/>
      <c r="M272" s="12"/>
      <c r="N272" s="13" t="n">
        <f aca="false">IF(L272="Своя ціна",M272,IF(L272="Прийняти",IF(ISNUMBER(J272),J272,E272),E272))</f>
        <v>65</v>
      </c>
      <c r="O272" s="8" t="s">
        <v>773</v>
      </c>
      <c r="P272" s="14" t="s">
        <v>774</v>
      </c>
    </row>
    <row r="273" customFormat="false" ht="105.95" hidden="false" customHeight="false" outlineLevel="0" collapsed="false">
      <c r="A273" s="8" t="s">
        <v>13</v>
      </c>
      <c r="B273" s="8" t="s">
        <v>744</v>
      </c>
      <c r="C273" s="8" t="s">
        <v>775</v>
      </c>
      <c r="D273" s="8" t="s">
        <v>41</v>
      </c>
      <c r="E273" s="9" t="n">
        <v>100</v>
      </c>
      <c r="F273" s="9" t="n">
        <v>200</v>
      </c>
      <c r="G273" s="9" t="n">
        <v>380</v>
      </c>
      <c r="H273" s="9" t="n">
        <v>500</v>
      </c>
      <c r="I273" s="8" t="s">
        <v>42</v>
      </c>
      <c r="J273" s="9" t="n">
        <v>380</v>
      </c>
      <c r="K273" s="10" t="n">
        <f aca="false">IF(AND(ISNUMBER(J273),E273&gt;0),J273/E273-1,"")</f>
        <v>2.8</v>
      </c>
      <c r="L273" s="11"/>
      <c r="M273" s="12"/>
      <c r="N273" s="13" t="n">
        <f aca="false">IF(L273="Своя ціна",M273,IF(L273="Прийняти",IF(ISNUMBER(J273),J273,E273),E273))</f>
        <v>100</v>
      </c>
      <c r="O273" s="8" t="s">
        <v>776</v>
      </c>
      <c r="P273" s="14" t="s">
        <v>777</v>
      </c>
    </row>
    <row r="274" customFormat="false" ht="116.4" hidden="false" customHeight="false" outlineLevel="0" collapsed="false">
      <c r="A274" s="8" t="s">
        <v>13</v>
      </c>
      <c r="B274" s="8" t="s">
        <v>744</v>
      </c>
      <c r="C274" s="8" t="s">
        <v>778</v>
      </c>
      <c r="D274" s="8" t="s">
        <v>41</v>
      </c>
      <c r="E274" s="9" t="n">
        <v>60</v>
      </c>
      <c r="F274" s="9" t="n">
        <v>35</v>
      </c>
      <c r="G274" s="9" t="n">
        <v>175</v>
      </c>
      <c r="H274" s="9" t="n">
        <v>250</v>
      </c>
      <c r="I274" s="8" t="s">
        <v>42</v>
      </c>
      <c r="J274" s="9" t="n">
        <v>170</v>
      </c>
      <c r="K274" s="10" t="n">
        <f aca="false">IF(AND(ISNUMBER(J274),E274&gt;0),J274/E274-1,"")</f>
        <v>1.83333333333333</v>
      </c>
      <c r="L274" s="11"/>
      <c r="M274" s="12"/>
      <c r="N274" s="13" t="n">
        <f aca="false">IF(L274="Своя ціна",M274,IF(L274="Прийняти",IF(ISNUMBER(J274),J274,E274),E274))</f>
        <v>60</v>
      </c>
      <c r="O274" s="8" t="s">
        <v>779</v>
      </c>
      <c r="P274" s="14" t="s">
        <v>780</v>
      </c>
    </row>
    <row r="275" customFormat="false" ht="43.25" hidden="false" customHeight="false" outlineLevel="0" collapsed="false">
      <c r="A275" s="8" t="s">
        <v>13</v>
      </c>
      <c r="B275" s="8" t="s">
        <v>744</v>
      </c>
      <c r="C275" s="8" t="s">
        <v>781</v>
      </c>
      <c r="D275" s="8" t="s">
        <v>61</v>
      </c>
      <c r="E275" s="9" t="n">
        <v>1000</v>
      </c>
      <c r="F275" s="9" t="n">
        <v>1400</v>
      </c>
      <c r="G275" s="9" t="n">
        <v>1800</v>
      </c>
      <c r="H275" s="9" t="n">
        <v>2500</v>
      </c>
      <c r="I275" s="8" t="s">
        <v>42</v>
      </c>
      <c r="J275" s="9" t="n">
        <v>1800</v>
      </c>
      <c r="K275" s="10" t="n">
        <f aca="false">IF(AND(ISNUMBER(J275),E275&gt;0),J275/E275-1,"")</f>
        <v>0.8</v>
      </c>
      <c r="L275" s="11"/>
      <c r="M275" s="12"/>
      <c r="N275" s="13" t="n">
        <f aca="false">IF(L275="Своя ціна",M275,IF(L275="Прийняти",IF(ISNUMBER(J275),J275,E275),E275))</f>
        <v>1000</v>
      </c>
      <c r="O275" s="8"/>
      <c r="P275" s="14" t="s">
        <v>782</v>
      </c>
    </row>
    <row r="276" customFormat="false" ht="68.65" hidden="false" customHeight="false" outlineLevel="0" collapsed="false">
      <c r="A276" s="8" t="s">
        <v>13</v>
      </c>
      <c r="B276" s="8" t="s">
        <v>783</v>
      </c>
      <c r="C276" s="8" t="s">
        <v>784</v>
      </c>
      <c r="D276" s="8" t="s">
        <v>61</v>
      </c>
      <c r="E276" s="9" t="n">
        <v>900</v>
      </c>
      <c r="F276" s="9" t="n">
        <v>1300</v>
      </c>
      <c r="G276" s="9" t="n">
        <v>1500</v>
      </c>
      <c r="H276" s="9" t="n">
        <v>3660</v>
      </c>
      <c r="I276" s="8" t="s">
        <v>42</v>
      </c>
      <c r="J276" s="9" t="n">
        <v>1350</v>
      </c>
      <c r="K276" s="10" t="n">
        <f aca="false">IF(AND(ISNUMBER(J276),E276&gt;0),J276/E276-1,"")</f>
        <v>0.5</v>
      </c>
      <c r="L276" s="11"/>
      <c r="M276" s="12"/>
      <c r="N276" s="13" t="n">
        <f aca="false">IF(L276="Своя ціна",M276,IF(L276="Прийняти",IF(ISNUMBER(J276),J276,E276),E276))</f>
        <v>900</v>
      </c>
      <c r="O276" s="8" t="s">
        <v>785</v>
      </c>
      <c r="P276" s="14" t="s">
        <v>786</v>
      </c>
    </row>
    <row r="277" customFormat="false" ht="35.05" hidden="false" customHeight="false" outlineLevel="0" collapsed="false">
      <c r="A277" s="8" t="s">
        <v>13</v>
      </c>
      <c r="B277" s="8" t="s">
        <v>783</v>
      </c>
      <c r="C277" s="8" t="s">
        <v>787</v>
      </c>
      <c r="D277" s="8" t="s">
        <v>61</v>
      </c>
      <c r="E277" s="9" t="n">
        <v>3500</v>
      </c>
      <c r="F277" s="9" t="n">
        <v>4500</v>
      </c>
      <c r="G277" s="9" t="n">
        <v>7400</v>
      </c>
      <c r="H277" s="9" t="n">
        <v>9000</v>
      </c>
      <c r="I277" s="8" t="s">
        <v>42</v>
      </c>
      <c r="J277" s="9" t="n">
        <v>7000</v>
      </c>
      <c r="K277" s="10" t="n">
        <f aca="false">IF(AND(ISNUMBER(J277),E277&gt;0),J277/E277-1,"")</f>
        <v>1</v>
      </c>
      <c r="L277" s="11"/>
      <c r="M277" s="12"/>
      <c r="N277" s="13" t="n">
        <f aca="false">IF(L277="Своя ціна",M277,IF(L277="Прийняти",IF(ISNUMBER(J277),J277,E277),E277))</f>
        <v>3500</v>
      </c>
      <c r="O277" s="8" t="s">
        <v>788</v>
      </c>
      <c r="P277" s="14" t="s">
        <v>789</v>
      </c>
    </row>
    <row r="278" customFormat="false" ht="43.25" hidden="false" customHeight="false" outlineLevel="0" collapsed="false">
      <c r="A278" s="8" t="s">
        <v>13</v>
      </c>
      <c r="B278" s="8" t="s">
        <v>783</v>
      </c>
      <c r="C278" s="8" t="s">
        <v>790</v>
      </c>
      <c r="D278" s="8" t="s">
        <v>791</v>
      </c>
      <c r="E278" s="9" t="n">
        <v>400</v>
      </c>
      <c r="F278" s="9" t="n">
        <v>400</v>
      </c>
      <c r="G278" s="9" t="n">
        <v>610</v>
      </c>
      <c r="H278" s="9" t="n">
        <v>1200</v>
      </c>
      <c r="I278" s="8" t="s">
        <v>42</v>
      </c>
      <c r="J278" s="9" t="n">
        <v>600</v>
      </c>
      <c r="K278" s="10" t="n">
        <f aca="false">IF(AND(ISNUMBER(J278),E278&gt;0),J278/E278-1,"")</f>
        <v>0.5</v>
      </c>
      <c r="L278" s="11"/>
      <c r="M278" s="12"/>
      <c r="N278" s="13" t="n">
        <f aca="false">IF(L278="Своя ціна",M278,IF(L278="Прийняти",IF(ISNUMBER(J278),J278,E278),E278))</f>
        <v>400</v>
      </c>
      <c r="O278" s="8" t="s">
        <v>792</v>
      </c>
      <c r="P278" s="14" t="s">
        <v>793</v>
      </c>
    </row>
    <row r="279" customFormat="false" ht="43.25" hidden="false" customHeight="false" outlineLevel="0" collapsed="false">
      <c r="A279" s="8" t="s">
        <v>13</v>
      </c>
      <c r="B279" s="8" t="s">
        <v>783</v>
      </c>
      <c r="C279" s="8" t="s">
        <v>794</v>
      </c>
      <c r="D279" s="8" t="s">
        <v>61</v>
      </c>
      <c r="E279" s="9" t="n">
        <v>3000</v>
      </c>
      <c r="F279" s="9" t="n">
        <v>3500</v>
      </c>
      <c r="G279" s="9" t="n">
        <v>5500</v>
      </c>
      <c r="H279" s="9" t="n">
        <v>8000</v>
      </c>
      <c r="I279" s="8" t="s">
        <v>42</v>
      </c>
      <c r="J279" s="9" t="n">
        <v>5000</v>
      </c>
      <c r="K279" s="10" t="n">
        <f aca="false">IF(AND(ISNUMBER(J279),E279&gt;0),J279/E279-1,"")</f>
        <v>0.666666666666667</v>
      </c>
      <c r="L279" s="11"/>
      <c r="M279" s="12"/>
      <c r="N279" s="13" t="n">
        <f aca="false">IF(L279="Своя ціна",M279,IF(L279="Прийняти",IF(ISNUMBER(J279),J279,E279),E279))</f>
        <v>3000</v>
      </c>
      <c r="O279" s="8"/>
      <c r="P279" s="14" t="s">
        <v>795</v>
      </c>
    </row>
    <row r="280" customFormat="false" ht="32.8" hidden="false" customHeight="false" outlineLevel="0" collapsed="false">
      <c r="A280" s="8" t="s">
        <v>13</v>
      </c>
      <c r="B280" s="8" t="s">
        <v>783</v>
      </c>
      <c r="C280" s="8" t="s">
        <v>796</v>
      </c>
      <c r="D280" s="8" t="s">
        <v>49</v>
      </c>
      <c r="E280" s="9" t="n">
        <v>400</v>
      </c>
      <c r="F280" s="9" t="n">
        <v>555</v>
      </c>
      <c r="G280" s="9" t="n">
        <v>1030</v>
      </c>
      <c r="H280" s="9" t="n">
        <v>1250</v>
      </c>
      <c r="I280" s="8" t="s">
        <v>42</v>
      </c>
      <c r="J280" s="9" t="n">
        <v>1000</v>
      </c>
      <c r="K280" s="10" t="n">
        <f aca="false">IF(AND(ISNUMBER(J280),E280&gt;0),J280/E280-1,"")</f>
        <v>1.5</v>
      </c>
      <c r="L280" s="11"/>
      <c r="M280" s="12"/>
      <c r="N280" s="13" t="n">
        <f aca="false">IF(L280="Своя ціна",M280,IF(L280="Прийняти",IF(ISNUMBER(J280),J280,E280),E280))</f>
        <v>400</v>
      </c>
      <c r="O280" s="8"/>
      <c r="P280" s="14" t="s">
        <v>797</v>
      </c>
    </row>
    <row r="281" customFormat="false" ht="32.8" hidden="false" customHeight="false" outlineLevel="0" collapsed="false">
      <c r="A281" s="8" t="s">
        <v>13</v>
      </c>
      <c r="B281" s="8" t="s">
        <v>710</v>
      </c>
      <c r="C281" s="8" t="s">
        <v>798</v>
      </c>
      <c r="D281" s="8" t="s">
        <v>41</v>
      </c>
      <c r="E281" s="9" t="n">
        <v>290</v>
      </c>
      <c r="F281" s="9" t="n">
        <v>140</v>
      </c>
      <c r="G281" s="9" t="n">
        <v>230</v>
      </c>
      <c r="H281" s="9" t="n">
        <v>300</v>
      </c>
      <c r="I281" s="8" t="s">
        <v>105</v>
      </c>
      <c r="J281" s="9" t="n">
        <v>240</v>
      </c>
      <c r="K281" s="10" t="n">
        <f aca="false">IF(AND(ISNUMBER(J281),E281&gt;0),J281/E281-1,"")</f>
        <v>-0.172413793103448</v>
      </c>
      <c r="L281" s="11"/>
      <c r="M281" s="12"/>
      <c r="N281" s="13" t="n">
        <f aca="false">IF(L281="Своя ціна",M281,IF(L281="Прийняти",IF(ISNUMBER(J281),J281,E281),E281))</f>
        <v>290</v>
      </c>
      <c r="O281" s="8" t="s">
        <v>799</v>
      </c>
      <c r="P281" s="14" t="s">
        <v>800</v>
      </c>
    </row>
    <row r="282" customFormat="false" ht="64.15" hidden="false" customHeight="false" outlineLevel="0" collapsed="false">
      <c r="A282" s="8" t="s">
        <v>13</v>
      </c>
      <c r="B282" s="8" t="s">
        <v>710</v>
      </c>
      <c r="C282" s="8" t="s">
        <v>801</v>
      </c>
      <c r="D282" s="8" t="s">
        <v>41</v>
      </c>
      <c r="E282" s="9" t="n">
        <v>460</v>
      </c>
      <c r="F282" s="9" t="n">
        <v>280</v>
      </c>
      <c r="G282" s="9" t="n">
        <v>375</v>
      </c>
      <c r="H282" s="9" t="n">
        <v>470</v>
      </c>
      <c r="I282" s="8" t="s">
        <v>105</v>
      </c>
      <c r="J282" s="9" t="n">
        <v>400</v>
      </c>
      <c r="K282" s="10" t="n">
        <f aca="false">IF(AND(ISNUMBER(J282),E282&gt;0),J282/E282-1,"")</f>
        <v>-0.130434782608696</v>
      </c>
      <c r="L282" s="11"/>
      <c r="M282" s="12"/>
      <c r="N282" s="13" t="n">
        <f aca="false">IF(L282="Своя ціна",M282,IF(L282="Прийняти",IF(ISNUMBER(J282),J282,E282),E282))</f>
        <v>460</v>
      </c>
      <c r="O282" s="8" t="s">
        <v>802</v>
      </c>
      <c r="P282" s="14" t="s">
        <v>803</v>
      </c>
    </row>
    <row r="283" customFormat="false" ht="43.25" hidden="false" customHeight="false" outlineLevel="0" collapsed="false">
      <c r="A283" s="8" t="s">
        <v>13</v>
      </c>
      <c r="B283" s="8" t="s">
        <v>744</v>
      </c>
      <c r="C283" s="8" t="s">
        <v>804</v>
      </c>
      <c r="D283" s="8" t="s">
        <v>61</v>
      </c>
      <c r="E283" s="9" t="n">
        <v>4500</v>
      </c>
      <c r="F283" s="9" t="n">
        <v>1875</v>
      </c>
      <c r="G283" s="9" t="n">
        <v>2500</v>
      </c>
      <c r="H283" s="9" t="n">
        <v>3000</v>
      </c>
      <c r="I283" s="8" t="s">
        <v>105</v>
      </c>
      <c r="J283" s="9" t="n">
        <v>3000</v>
      </c>
      <c r="K283" s="10" t="n">
        <f aca="false">IF(AND(ISNUMBER(J283),E283&gt;0),J283/E283-1,"")</f>
        <v>-0.333333333333333</v>
      </c>
      <c r="L283" s="11"/>
      <c r="M283" s="12"/>
      <c r="N283" s="13" t="n">
        <f aca="false">IF(L283="Своя ціна",M283,IF(L283="Прийняти",IF(ISNUMBER(J283),J283,E283),E283))</f>
        <v>4500</v>
      </c>
      <c r="O283" s="8" t="s">
        <v>805</v>
      </c>
      <c r="P283" s="14" t="s">
        <v>806</v>
      </c>
    </row>
    <row r="284" customFormat="false" ht="43.25" hidden="false" customHeight="false" outlineLevel="0" collapsed="false">
      <c r="A284" s="8" t="s">
        <v>13</v>
      </c>
      <c r="B284" s="8" t="s">
        <v>783</v>
      </c>
      <c r="C284" s="8" t="s">
        <v>807</v>
      </c>
      <c r="D284" s="8" t="s">
        <v>808</v>
      </c>
      <c r="E284" s="9" t="n">
        <v>12</v>
      </c>
      <c r="F284" s="9" t="n">
        <v>1.8</v>
      </c>
      <c r="G284" s="9" t="n">
        <v>3.7</v>
      </c>
      <c r="H284" s="9" t="n">
        <v>4</v>
      </c>
      <c r="I284" s="8" t="s">
        <v>105</v>
      </c>
      <c r="J284" s="9" t="n">
        <v>4</v>
      </c>
      <c r="K284" s="10" t="n">
        <f aca="false">IF(AND(ISNUMBER(J284),E284&gt;0),J284/E284-1,"")</f>
        <v>-0.666666666666667</v>
      </c>
      <c r="L284" s="11"/>
      <c r="M284" s="12"/>
      <c r="N284" s="13" t="n">
        <f aca="false">IF(L284="Своя ціна",M284,IF(L284="Прийняти",IF(ISNUMBER(J284),J284,E284),E284))</f>
        <v>12</v>
      </c>
      <c r="O284" s="8" t="s">
        <v>809</v>
      </c>
      <c r="P284" s="14" t="s">
        <v>810</v>
      </c>
    </row>
    <row r="285" customFormat="false" ht="32.8" hidden="false" customHeight="false" outlineLevel="0" collapsed="false">
      <c r="A285" s="8" t="s">
        <v>13</v>
      </c>
      <c r="B285" s="8" t="s">
        <v>783</v>
      </c>
      <c r="C285" s="8" t="s">
        <v>811</v>
      </c>
      <c r="D285" s="8" t="s">
        <v>61</v>
      </c>
      <c r="E285" s="9" t="n">
        <v>500</v>
      </c>
      <c r="F285" s="9" t="n">
        <v>250</v>
      </c>
      <c r="G285" s="9" t="n">
        <v>390</v>
      </c>
      <c r="H285" s="9" t="n">
        <v>600</v>
      </c>
      <c r="I285" s="8" t="s">
        <v>105</v>
      </c>
      <c r="J285" s="9" t="n">
        <v>400</v>
      </c>
      <c r="K285" s="10" t="n">
        <f aca="false">IF(AND(ISNUMBER(J285),E285&gt;0),J285/E285-1,"")</f>
        <v>-0.2</v>
      </c>
      <c r="L285" s="11"/>
      <c r="M285" s="12"/>
      <c r="N285" s="13" t="n">
        <f aca="false">IF(L285="Своя ціна",M285,IF(L285="Прийняти",IF(ISNUMBER(J285),J285,E285),E285))</f>
        <v>500</v>
      </c>
      <c r="O285" s="8" t="s">
        <v>812</v>
      </c>
      <c r="P285" s="14" t="s">
        <v>813</v>
      </c>
    </row>
    <row r="286" customFormat="false" ht="74.6" hidden="false" customHeight="false" outlineLevel="0" collapsed="false">
      <c r="A286" s="8" t="s">
        <v>13</v>
      </c>
      <c r="B286" s="8" t="s">
        <v>744</v>
      </c>
      <c r="C286" s="8" t="s">
        <v>814</v>
      </c>
      <c r="D286" s="8" t="s">
        <v>712</v>
      </c>
      <c r="E286" s="9" t="n">
        <v>200</v>
      </c>
      <c r="F286" s="9" t="n">
        <v>156</v>
      </c>
      <c r="G286" s="9" t="n">
        <v>300</v>
      </c>
      <c r="H286" s="9" t="n">
        <v>450</v>
      </c>
      <c r="I286" s="8" t="s">
        <v>121</v>
      </c>
      <c r="J286" s="9"/>
      <c r="K286" s="10" t="str">
        <f aca="false">IF(AND(ISNUMBER(J286),E286&gt;0),J286/E286-1,"")</f>
        <v/>
      </c>
      <c r="L286" s="11"/>
      <c r="M286" s="12"/>
      <c r="N286" s="13" t="n">
        <f aca="false">IF(L286="Своя ціна",M286,IF(L286="Прийняти",IF(ISNUMBER(J286),J286,E286),E286))</f>
        <v>200</v>
      </c>
      <c r="O286" s="8" t="s">
        <v>815</v>
      </c>
      <c r="P286" s="14" t="s">
        <v>816</v>
      </c>
    </row>
    <row r="287" customFormat="false" ht="85.05" hidden="false" customHeight="false" outlineLevel="0" collapsed="false">
      <c r="A287" s="8" t="s">
        <v>13</v>
      </c>
      <c r="B287" s="8" t="s">
        <v>783</v>
      </c>
      <c r="C287" s="8" t="s">
        <v>817</v>
      </c>
      <c r="D287" s="8" t="s">
        <v>41</v>
      </c>
      <c r="E287" s="9" t="n">
        <v>2200</v>
      </c>
      <c r="F287" s="9" t="n">
        <v>500</v>
      </c>
      <c r="G287" s="9" t="n">
        <v>4000</v>
      </c>
      <c r="H287" s="9" t="n">
        <v>8500</v>
      </c>
      <c r="I287" s="8" t="s">
        <v>121</v>
      </c>
      <c r="J287" s="9"/>
      <c r="K287" s="10" t="str">
        <f aca="false">IF(AND(ISNUMBER(J287),E287&gt;0),J287/E287-1,"")</f>
        <v/>
      </c>
      <c r="L287" s="11"/>
      <c r="M287" s="12"/>
      <c r="N287" s="13" t="n">
        <f aca="false">IF(L287="Своя ціна",M287,IF(L287="Прийняти",IF(ISNUMBER(J287),J287,E287),E287))</f>
        <v>2200</v>
      </c>
      <c r="O287" s="8" t="s">
        <v>818</v>
      </c>
      <c r="P287" s="14" t="s">
        <v>819</v>
      </c>
    </row>
    <row r="288" customFormat="false" ht="23.85" hidden="false" customHeight="false" outlineLevel="0" collapsed="false">
      <c r="A288" s="8" t="s">
        <v>13</v>
      </c>
      <c r="B288" s="8" t="s">
        <v>783</v>
      </c>
      <c r="C288" s="8" t="s">
        <v>820</v>
      </c>
      <c r="D288" s="8" t="s">
        <v>808</v>
      </c>
      <c r="E288" s="9" t="n">
        <v>20</v>
      </c>
      <c r="F288" s="9" t="n">
        <v>3.5</v>
      </c>
      <c r="G288" s="9" t="n">
        <v>5</v>
      </c>
      <c r="H288" s="9" t="n">
        <v>6</v>
      </c>
      <c r="I288" s="8" t="s">
        <v>121</v>
      </c>
      <c r="J288" s="9"/>
      <c r="K288" s="10" t="str">
        <f aca="false">IF(AND(ISNUMBER(J288),E288&gt;0),J288/E288-1,"")</f>
        <v/>
      </c>
      <c r="L288" s="11"/>
      <c r="M288" s="12"/>
      <c r="N288" s="13" t="n">
        <f aca="false">IF(L288="Своя ціна",M288,IF(L288="Прийняти",IF(ISNUMBER(J288),J288,E288),E288))</f>
        <v>20</v>
      </c>
      <c r="O288" s="8" t="s">
        <v>821</v>
      </c>
      <c r="P288" s="14" t="s">
        <v>822</v>
      </c>
    </row>
    <row r="289" customFormat="false" ht="43.25" hidden="false" customHeight="false" outlineLevel="0" collapsed="false">
      <c r="A289" s="8" t="s">
        <v>13</v>
      </c>
      <c r="B289" s="8" t="s">
        <v>710</v>
      </c>
      <c r="C289" s="8" t="s">
        <v>823</v>
      </c>
      <c r="D289" s="8" t="s">
        <v>49</v>
      </c>
      <c r="E289" s="9" t="n">
        <v>1100</v>
      </c>
      <c r="F289" s="9" t="n">
        <v>800</v>
      </c>
      <c r="G289" s="9" t="n">
        <v>1020</v>
      </c>
      <c r="H289" s="9" t="n">
        <v>1200</v>
      </c>
      <c r="I289" s="8" t="s">
        <v>128</v>
      </c>
      <c r="J289" s="9"/>
      <c r="K289" s="10" t="str">
        <f aca="false">IF(AND(ISNUMBER(J289),E289&gt;0),J289/E289-1,"")</f>
        <v/>
      </c>
      <c r="L289" s="11"/>
      <c r="M289" s="12"/>
      <c r="N289" s="13" t="n">
        <f aca="false">IF(L289="Своя ціна",M289,IF(L289="Прийняти",IF(ISNUMBER(J289),J289,E289),E289))</f>
        <v>1100</v>
      </c>
      <c r="O289" s="8" t="s">
        <v>824</v>
      </c>
      <c r="P289" s="14" t="s">
        <v>825</v>
      </c>
    </row>
    <row r="290" customFormat="false" ht="32.8" hidden="false" customHeight="false" outlineLevel="0" collapsed="false">
      <c r="A290" s="8" t="s">
        <v>13</v>
      </c>
      <c r="B290" s="8" t="s">
        <v>710</v>
      </c>
      <c r="C290" s="8" t="s">
        <v>826</v>
      </c>
      <c r="D290" s="8" t="s">
        <v>41</v>
      </c>
      <c r="E290" s="9" t="n">
        <v>330</v>
      </c>
      <c r="F290" s="9" t="n">
        <v>200</v>
      </c>
      <c r="G290" s="9" t="n">
        <v>315</v>
      </c>
      <c r="H290" s="9" t="n">
        <v>400</v>
      </c>
      <c r="I290" s="8" t="s">
        <v>128</v>
      </c>
      <c r="J290" s="9"/>
      <c r="K290" s="10" t="str">
        <f aca="false">IF(AND(ISNUMBER(J290),E290&gt;0),J290/E290-1,"")</f>
        <v/>
      </c>
      <c r="L290" s="11"/>
      <c r="M290" s="12"/>
      <c r="N290" s="13" t="n">
        <f aca="false">IF(L290="Своя ціна",M290,IF(L290="Прийняти",IF(ISNUMBER(J290),J290,E290),E290))</f>
        <v>330</v>
      </c>
      <c r="O290" s="8"/>
      <c r="P290" s="14" t="s">
        <v>827</v>
      </c>
    </row>
    <row r="291" customFormat="false" ht="43.25" hidden="false" customHeight="false" outlineLevel="0" collapsed="false">
      <c r="A291" s="8" t="s">
        <v>13</v>
      </c>
      <c r="B291" s="8" t="s">
        <v>710</v>
      </c>
      <c r="C291" s="8" t="s">
        <v>828</v>
      </c>
      <c r="D291" s="8" t="s">
        <v>41</v>
      </c>
      <c r="E291" s="9" t="n">
        <v>1900</v>
      </c>
      <c r="F291" s="9" t="n">
        <v>1000</v>
      </c>
      <c r="G291" s="9" t="n">
        <v>1820</v>
      </c>
      <c r="H291" s="9" t="n">
        <v>2500</v>
      </c>
      <c r="I291" s="8" t="s">
        <v>128</v>
      </c>
      <c r="J291" s="9"/>
      <c r="K291" s="10" t="str">
        <f aca="false">IF(AND(ISNUMBER(J291),E291&gt;0),J291/E291-1,"")</f>
        <v/>
      </c>
      <c r="L291" s="11"/>
      <c r="M291" s="12"/>
      <c r="N291" s="13" t="n">
        <f aca="false">IF(L291="Своя ціна",M291,IF(L291="Прийняти",IF(ISNUMBER(J291),J291,E291),E291))</f>
        <v>1900</v>
      </c>
      <c r="O291" s="8"/>
      <c r="P291" s="14" t="s">
        <v>829</v>
      </c>
    </row>
    <row r="292" customFormat="false" ht="32.8" hidden="false" customHeight="false" outlineLevel="0" collapsed="false">
      <c r="A292" s="8" t="s">
        <v>13</v>
      </c>
      <c r="B292" s="8" t="s">
        <v>710</v>
      </c>
      <c r="C292" s="8" t="s">
        <v>830</v>
      </c>
      <c r="D292" s="8" t="s">
        <v>41</v>
      </c>
      <c r="E292" s="9" t="n">
        <v>600</v>
      </c>
      <c r="F292" s="9" t="n">
        <v>350</v>
      </c>
      <c r="G292" s="9" t="n">
        <v>550</v>
      </c>
      <c r="H292" s="9" t="n">
        <v>975</v>
      </c>
      <c r="I292" s="8" t="s">
        <v>128</v>
      </c>
      <c r="J292" s="9"/>
      <c r="K292" s="10" t="str">
        <f aca="false">IF(AND(ISNUMBER(J292),E292&gt;0),J292/E292-1,"")</f>
        <v/>
      </c>
      <c r="L292" s="11"/>
      <c r="M292" s="12"/>
      <c r="N292" s="13" t="n">
        <f aca="false">IF(L292="Своя ціна",M292,IF(L292="Прийняти",IF(ISNUMBER(J292),J292,E292),E292))</f>
        <v>600</v>
      </c>
      <c r="O292" s="8" t="s">
        <v>831</v>
      </c>
      <c r="P292" s="14" t="s">
        <v>832</v>
      </c>
    </row>
    <row r="293" customFormat="false" ht="53.7" hidden="false" customHeight="false" outlineLevel="0" collapsed="false">
      <c r="A293" s="8" t="s">
        <v>13</v>
      </c>
      <c r="B293" s="8" t="s">
        <v>710</v>
      </c>
      <c r="C293" s="8" t="s">
        <v>833</v>
      </c>
      <c r="D293" s="8" t="s">
        <v>41</v>
      </c>
      <c r="E293" s="9" t="n">
        <v>900</v>
      </c>
      <c r="F293" s="9" t="n">
        <v>500</v>
      </c>
      <c r="G293" s="9" t="n">
        <v>800</v>
      </c>
      <c r="H293" s="9" t="n">
        <v>1000</v>
      </c>
      <c r="I293" s="8" t="s">
        <v>128</v>
      </c>
      <c r="J293" s="9"/>
      <c r="K293" s="10" t="str">
        <f aca="false">IF(AND(ISNUMBER(J293),E293&gt;0),J293/E293-1,"")</f>
        <v/>
      </c>
      <c r="L293" s="11"/>
      <c r="M293" s="12"/>
      <c r="N293" s="13" t="n">
        <f aca="false">IF(L293="Своя ціна",M293,IF(L293="Прийняти",IF(ISNUMBER(J293),J293,E293),E293))</f>
        <v>900</v>
      </c>
      <c r="O293" s="8" t="s">
        <v>834</v>
      </c>
      <c r="P293" s="14" t="s">
        <v>835</v>
      </c>
    </row>
    <row r="294" customFormat="false" ht="23.85" hidden="false" customHeight="false" outlineLevel="0" collapsed="false">
      <c r="A294" s="8" t="s">
        <v>13</v>
      </c>
      <c r="B294" s="8" t="s">
        <v>710</v>
      </c>
      <c r="C294" s="8" t="s">
        <v>836</v>
      </c>
      <c r="D294" s="8" t="s">
        <v>712</v>
      </c>
      <c r="E294" s="9" t="n">
        <v>3000</v>
      </c>
      <c r="F294" s="9" t="n">
        <v>2000</v>
      </c>
      <c r="G294" s="9" t="n">
        <v>2650</v>
      </c>
      <c r="H294" s="9" t="n">
        <v>3500</v>
      </c>
      <c r="I294" s="8" t="s">
        <v>128</v>
      </c>
      <c r="J294" s="9"/>
      <c r="K294" s="10" t="str">
        <f aca="false">IF(AND(ISNUMBER(J294),E294&gt;0),J294/E294-1,"")</f>
        <v/>
      </c>
      <c r="L294" s="11"/>
      <c r="M294" s="12"/>
      <c r="N294" s="13" t="n">
        <f aca="false">IF(L294="Своя ціна",M294,IF(L294="Прийняти",IF(ISNUMBER(J294),J294,E294),E294))</f>
        <v>3000</v>
      </c>
      <c r="O294" s="8" t="s">
        <v>837</v>
      </c>
      <c r="P294" s="14" t="s">
        <v>838</v>
      </c>
    </row>
    <row r="295" customFormat="false" ht="64.15" hidden="false" customHeight="false" outlineLevel="0" collapsed="false">
      <c r="A295" s="8" t="s">
        <v>13</v>
      </c>
      <c r="B295" s="8" t="s">
        <v>710</v>
      </c>
      <c r="C295" s="8" t="s">
        <v>839</v>
      </c>
      <c r="D295" s="8" t="s">
        <v>712</v>
      </c>
      <c r="E295" s="9" t="n">
        <v>4000</v>
      </c>
      <c r="F295" s="9" t="n">
        <v>3000</v>
      </c>
      <c r="G295" s="9" t="n">
        <v>4000</v>
      </c>
      <c r="H295" s="9" t="n">
        <v>5300</v>
      </c>
      <c r="I295" s="8" t="s">
        <v>128</v>
      </c>
      <c r="J295" s="9"/>
      <c r="K295" s="10" t="str">
        <f aca="false">IF(AND(ISNUMBER(J295),E295&gt;0),J295/E295-1,"")</f>
        <v/>
      </c>
      <c r="L295" s="11"/>
      <c r="M295" s="12"/>
      <c r="N295" s="13" t="n">
        <f aca="false">IF(L295="Своя ціна",M295,IF(L295="Прийняти",IF(ISNUMBER(J295),J295,E295),E295))</f>
        <v>4000</v>
      </c>
      <c r="O295" s="8" t="s">
        <v>840</v>
      </c>
      <c r="P295" s="14" t="s">
        <v>841</v>
      </c>
    </row>
    <row r="296" customFormat="false" ht="32.8" hidden="false" customHeight="false" outlineLevel="0" collapsed="false">
      <c r="A296" s="8" t="s">
        <v>13</v>
      </c>
      <c r="B296" s="8" t="s">
        <v>710</v>
      </c>
      <c r="C296" s="8" t="s">
        <v>842</v>
      </c>
      <c r="D296" s="8" t="s">
        <v>712</v>
      </c>
      <c r="E296" s="9" t="n">
        <v>3000</v>
      </c>
      <c r="F296" s="9" t="n">
        <v>2000</v>
      </c>
      <c r="G296" s="9" t="n">
        <v>2950</v>
      </c>
      <c r="H296" s="9" t="n">
        <v>4000</v>
      </c>
      <c r="I296" s="8" t="s">
        <v>128</v>
      </c>
      <c r="J296" s="9"/>
      <c r="K296" s="10" t="str">
        <f aca="false">IF(AND(ISNUMBER(J296),E296&gt;0),J296/E296-1,"")</f>
        <v/>
      </c>
      <c r="L296" s="11"/>
      <c r="M296" s="12"/>
      <c r="N296" s="13" t="n">
        <f aca="false">IF(L296="Своя ціна",M296,IF(L296="Прийняти",IF(ISNUMBER(J296),J296,E296),E296))</f>
        <v>3000</v>
      </c>
      <c r="O296" s="8"/>
      <c r="P296" s="14" t="s">
        <v>843</v>
      </c>
    </row>
    <row r="297" customFormat="false" ht="43.25" hidden="false" customHeight="false" outlineLevel="0" collapsed="false">
      <c r="A297" s="8" t="s">
        <v>13</v>
      </c>
      <c r="B297" s="8" t="s">
        <v>710</v>
      </c>
      <c r="C297" s="8" t="s">
        <v>844</v>
      </c>
      <c r="D297" s="8" t="s">
        <v>49</v>
      </c>
      <c r="E297" s="9" t="n">
        <v>280</v>
      </c>
      <c r="F297" s="9" t="n">
        <v>150</v>
      </c>
      <c r="G297" s="9" t="n">
        <v>240</v>
      </c>
      <c r="H297" s="9" t="n">
        <v>330</v>
      </c>
      <c r="I297" s="8" t="s">
        <v>128</v>
      </c>
      <c r="J297" s="9"/>
      <c r="K297" s="10" t="str">
        <f aca="false">IF(AND(ISNUMBER(J297),E297&gt;0),J297/E297-1,"")</f>
        <v/>
      </c>
      <c r="L297" s="11"/>
      <c r="M297" s="12"/>
      <c r="N297" s="13" t="n">
        <f aca="false">IF(L297="Своя ціна",M297,IF(L297="Прийняти",IF(ISNUMBER(J297),J297,E297),E297))</f>
        <v>280</v>
      </c>
      <c r="O297" s="8"/>
      <c r="P297" s="14" t="s">
        <v>845</v>
      </c>
    </row>
    <row r="298" customFormat="false" ht="64.15" hidden="false" customHeight="false" outlineLevel="0" collapsed="false">
      <c r="A298" s="8" t="s">
        <v>13</v>
      </c>
      <c r="B298" s="8" t="s">
        <v>710</v>
      </c>
      <c r="C298" s="8" t="s">
        <v>846</v>
      </c>
      <c r="D298" s="8" t="s">
        <v>41</v>
      </c>
      <c r="E298" s="9" t="n">
        <v>380</v>
      </c>
      <c r="F298" s="9" t="n">
        <v>220</v>
      </c>
      <c r="G298" s="9" t="n">
        <v>390</v>
      </c>
      <c r="H298" s="9" t="n">
        <v>550</v>
      </c>
      <c r="I298" s="8" t="s">
        <v>128</v>
      </c>
      <c r="J298" s="9"/>
      <c r="K298" s="10" t="str">
        <f aca="false">IF(AND(ISNUMBER(J298),E298&gt;0),J298/E298-1,"")</f>
        <v/>
      </c>
      <c r="L298" s="11"/>
      <c r="M298" s="12"/>
      <c r="N298" s="13" t="n">
        <f aca="false">IF(L298="Своя ціна",M298,IF(L298="Прийняти",IF(ISNUMBER(J298),J298,E298),E298))</f>
        <v>380</v>
      </c>
      <c r="O298" s="8"/>
      <c r="P298" s="14" t="s">
        <v>847</v>
      </c>
    </row>
    <row r="299" customFormat="false" ht="64.15" hidden="false" customHeight="false" outlineLevel="0" collapsed="false">
      <c r="A299" s="8" t="s">
        <v>13</v>
      </c>
      <c r="B299" s="8" t="s">
        <v>710</v>
      </c>
      <c r="C299" s="8" t="s">
        <v>848</v>
      </c>
      <c r="D299" s="8" t="s">
        <v>41</v>
      </c>
      <c r="E299" s="9" t="n">
        <v>330</v>
      </c>
      <c r="F299" s="9" t="n">
        <v>200</v>
      </c>
      <c r="G299" s="9" t="n">
        <v>300</v>
      </c>
      <c r="H299" s="9" t="n">
        <v>430</v>
      </c>
      <c r="I299" s="8" t="s">
        <v>128</v>
      </c>
      <c r="J299" s="9"/>
      <c r="K299" s="10" t="str">
        <f aca="false">IF(AND(ISNUMBER(J299),E299&gt;0),J299/E299-1,"")</f>
        <v/>
      </c>
      <c r="L299" s="11"/>
      <c r="M299" s="12"/>
      <c r="N299" s="13" t="n">
        <f aca="false">IF(L299="Своя ціна",M299,IF(L299="Прийняти",IF(ISNUMBER(J299),J299,E299),E299))</f>
        <v>330</v>
      </c>
      <c r="O299" s="8"/>
      <c r="P299" s="14" t="s">
        <v>849</v>
      </c>
    </row>
    <row r="300" customFormat="false" ht="43.25" hidden="false" customHeight="false" outlineLevel="0" collapsed="false">
      <c r="A300" s="8" t="s">
        <v>13</v>
      </c>
      <c r="B300" s="8" t="s">
        <v>710</v>
      </c>
      <c r="C300" s="8" t="s">
        <v>850</v>
      </c>
      <c r="D300" s="8" t="s">
        <v>41</v>
      </c>
      <c r="E300" s="9" t="n">
        <v>500</v>
      </c>
      <c r="F300" s="9" t="n">
        <v>300</v>
      </c>
      <c r="G300" s="9" t="n">
        <v>430</v>
      </c>
      <c r="H300" s="9" t="n">
        <v>590</v>
      </c>
      <c r="I300" s="8" t="s">
        <v>128</v>
      </c>
      <c r="J300" s="9"/>
      <c r="K300" s="10" t="str">
        <f aca="false">IF(AND(ISNUMBER(J300),E300&gt;0),J300/E300-1,"")</f>
        <v/>
      </c>
      <c r="L300" s="11"/>
      <c r="M300" s="12"/>
      <c r="N300" s="13" t="n">
        <f aca="false">IF(L300="Своя ціна",M300,IF(L300="Прийняти",IF(ISNUMBER(J300),J300,E300),E300))</f>
        <v>500</v>
      </c>
      <c r="O300" s="8" t="s">
        <v>851</v>
      </c>
      <c r="P300" s="14" t="s">
        <v>852</v>
      </c>
    </row>
    <row r="301" customFormat="false" ht="53.7" hidden="false" customHeight="false" outlineLevel="0" collapsed="false">
      <c r="A301" s="8" t="s">
        <v>13</v>
      </c>
      <c r="B301" s="8" t="s">
        <v>710</v>
      </c>
      <c r="C301" s="8" t="s">
        <v>853</v>
      </c>
      <c r="D301" s="8" t="s">
        <v>41</v>
      </c>
      <c r="E301" s="9" t="n">
        <v>1000</v>
      </c>
      <c r="F301" s="9" t="n">
        <v>600</v>
      </c>
      <c r="G301" s="9" t="n">
        <v>950</v>
      </c>
      <c r="H301" s="9" t="n">
        <v>1600</v>
      </c>
      <c r="I301" s="8" t="s">
        <v>128</v>
      </c>
      <c r="J301" s="9"/>
      <c r="K301" s="10" t="str">
        <f aca="false">IF(AND(ISNUMBER(J301),E301&gt;0),J301/E301-1,"")</f>
        <v/>
      </c>
      <c r="L301" s="11"/>
      <c r="M301" s="12"/>
      <c r="N301" s="13" t="n">
        <f aca="false">IF(L301="Своя ціна",M301,IF(L301="Прийняти",IF(ISNUMBER(J301),J301,E301),E301))</f>
        <v>1000</v>
      </c>
      <c r="O301" s="8" t="s">
        <v>854</v>
      </c>
      <c r="P301" s="14" t="s">
        <v>855</v>
      </c>
    </row>
    <row r="302" customFormat="false" ht="43.25" hidden="false" customHeight="false" outlineLevel="0" collapsed="false">
      <c r="A302" s="8" t="s">
        <v>13</v>
      </c>
      <c r="B302" s="8" t="s">
        <v>744</v>
      </c>
      <c r="C302" s="8" t="s">
        <v>856</v>
      </c>
      <c r="D302" s="8" t="s">
        <v>61</v>
      </c>
      <c r="E302" s="9" t="n">
        <v>2000</v>
      </c>
      <c r="F302" s="9" t="n">
        <v>1000</v>
      </c>
      <c r="G302" s="9" t="n">
        <v>1800</v>
      </c>
      <c r="H302" s="9" t="n">
        <v>3500</v>
      </c>
      <c r="I302" s="8" t="s">
        <v>128</v>
      </c>
      <c r="J302" s="9"/>
      <c r="K302" s="10" t="str">
        <f aca="false">IF(AND(ISNUMBER(J302),E302&gt;0),J302/E302-1,"")</f>
        <v/>
      </c>
      <c r="L302" s="11"/>
      <c r="M302" s="12"/>
      <c r="N302" s="13" t="n">
        <f aca="false">IF(L302="Своя ціна",M302,IF(L302="Прийняти",IF(ISNUMBER(J302),J302,E302),E302))</f>
        <v>2000</v>
      </c>
      <c r="O302" s="8" t="s">
        <v>857</v>
      </c>
      <c r="P302" s="14" t="s">
        <v>858</v>
      </c>
    </row>
    <row r="303" customFormat="false" ht="43.25" hidden="false" customHeight="false" outlineLevel="0" collapsed="false">
      <c r="A303" s="8" t="s">
        <v>13</v>
      </c>
      <c r="B303" s="8" t="s">
        <v>744</v>
      </c>
      <c r="C303" s="8" t="s">
        <v>859</v>
      </c>
      <c r="D303" s="8" t="s">
        <v>61</v>
      </c>
      <c r="E303" s="9" t="n">
        <v>15</v>
      </c>
      <c r="F303" s="9" t="n">
        <v>10</v>
      </c>
      <c r="G303" s="9" t="n">
        <v>10</v>
      </c>
      <c r="H303" s="9" t="n">
        <v>15</v>
      </c>
      <c r="I303" s="8" t="s">
        <v>128</v>
      </c>
      <c r="J303" s="9"/>
      <c r="K303" s="10" t="str">
        <f aca="false">IF(AND(ISNUMBER(J303),E303&gt;0),J303/E303-1,"")</f>
        <v/>
      </c>
      <c r="L303" s="11"/>
      <c r="M303" s="12"/>
      <c r="N303" s="13" t="n">
        <f aca="false">IF(L303="Своя ціна",M303,IF(L303="Прийняти",IF(ISNUMBER(J303),J303,E303),E303))</f>
        <v>15</v>
      </c>
      <c r="O303" s="8" t="s">
        <v>860</v>
      </c>
      <c r="P303" s="14" t="s">
        <v>861</v>
      </c>
    </row>
    <row r="304" customFormat="false" ht="64.15" hidden="false" customHeight="false" outlineLevel="0" collapsed="false">
      <c r="A304" s="8" t="s">
        <v>13</v>
      </c>
      <c r="B304" s="8" t="s">
        <v>783</v>
      </c>
      <c r="C304" s="8" t="s">
        <v>862</v>
      </c>
      <c r="D304" s="8" t="s">
        <v>41</v>
      </c>
      <c r="E304" s="9" t="n">
        <v>1800</v>
      </c>
      <c r="F304" s="9" t="n">
        <v>850</v>
      </c>
      <c r="G304" s="9" t="n">
        <v>1800</v>
      </c>
      <c r="H304" s="9" t="n">
        <v>2300</v>
      </c>
      <c r="I304" s="8" t="s">
        <v>128</v>
      </c>
      <c r="J304" s="9"/>
      <c r="K304" s="10" t="str">
        <f aca="false">IF(AND(ISNUMBER(J304),E304&gt;0),J304/E304-1,"")</f>
        <v/>
      </c>
      <c r="L304" s="11"/>
      <c r="M304" s="12"/>
      <c r="N304" s="13" t="n">
        <f aca="false">IF(L304="Своя ціна",M304,IF(L304="Прийняти",IF(ISNUMBER(J304),J304,E304),E304))</f>
        <v>1800</v>
      </c>
      <c r="O304" s="8"/>
      <c r="P304" s="14" t="s">
        <v>863</v>
      </c>
    </row>
    <row r="305" customFormat="false" ht="64.15" hidden="false" customHeight="false" outlineLevel="0" collapsed="false">
      <c r="A305" s="8" t="s">
        <v>13</v>
      </c>
      <c r="B305" s="8" t="s">
        <v>783</v>
      </c>
      <c r="C305" s="8" t="s">
        <v>864</v>
      </c>
      <c r="D305" s="8" t="s">
        <v>808</v>
      </c>
      <c r="E305" s="9" t="n">
        <v>45</v>
      </c>
      <c r="F305" s="9" t="n">
        <v>22</v>
      </c>
      <c r="G305" s="9" t="n">
        <v>37</v>
      </c>
      <c r="H305" s="9" t="n">
        <v>60</v>
      </c>
      <c r="I305" s="8" t="s">
        <v>128</v>
      </c>
      <c r="J305" s="9"/>
      <c r="K305" s="10" t="str">
        <f aca="false">IF(AND(ISNUMBER(J305),E305&gt;0),J305/E305-1,"")</f>
        <v/>
      </c>
      <c r="L305" s="11"/>
      <c r="M305" s="12"/>
      <c r="N305" s="13" t="n">
        <f aca="false">IF(L305="Своя ціна",M305,IF(L305="Прийняти",IF(ISNUMBER(J305),J305,E305),E305))</f>
        <v>45</v>
      </c>
      <c r="O305" s="8" t="s">
        <v>865</v>
      </c>
      <c r="P305" s="14" t="s">
        <v>866</v>
      </c>
    </row>
    <row r="306" customFormat="false" ht="43.25" hidden="false" customHeight="false" outlineLevel="0" collapsed="false">
      <c r="A306" s="8" t="s">
        <v>13</v>
      </c>
      <c r="B306" s="8" t="s">
        <v>783</v>
      </c>
      <c r="C306" s="8" t="s">
        <v>867</v>
      </c>
      <c r="D306" s="8" t="s">
        <v>41</v>
      </c>
      <c r="E306" s="9" t="n">
        <v>2000</v>
      </c>
      <c r="F306" s="9" t="n">
        <v>1900</v>
      </c>
      <c r="G306" s="9" t="n">
        <v>2030</v>
      </c>
      <c r="H306" s="9" t="n">
        <v>2200</v>
      </c>
      <c r="I306" s="8" t="s">
        <v>128</v>
      </c>
      <c r="J306" s="9"/>
      <c r="K306" s="10" t="str">
        <f aca="false">IF(AND(ISNUMBER(J306),E306&gt;0),J306/E306-1,"")</f>
        <v/>
      </c>
      <c r="L306" s="11"/>
      <c r="M306" s="12"/>
      <c r="N306" s="13" t="n">
        <f aca="false">IF(L306="Своя ціна",M306,IF(L306="Прийняти",IF(ISNUMBER(J306),J306,E306),E306))</f>
        <v>2000</v>
      </c>
      <c r="O306" s="8" t="s">
        <v>868</v>
      </c>
      <c r="P306" s="14" t="s">
        <v>869</v>
      </c>
    </row>
    <row r="307" customFormat="false" ht="32.8" hidden="false" customHeight="false" outlineLevel="0" collapsed="false">
      <c r="A307" s="8" t="s">
        <v>13</v>
      </c>
      <c r="B307" s="8" t="s">
        <v>783</v>
      </c>
      <c r="C307" s="8" t="s">
        <v>870</v>
      </c>
      <c r="D307" s="8" t="s">
        <v>41</v>
      </c>
      <c r="E307" s="9" t="n">
        <v>400</v>
      </c>
      <c r="F307" s="9" t="n">
        <v>250</v>
      </c>
      <c r="G307" s="9" t="n">
        <v>450</v>
      </c>
      <c r="H307" s="9" t="n">
        <v>700</v>
      </c>
      <c r="I307" s="8" t="s">
        <v>128</v>
      </c>
      <c r="J307" s="9"/>
      <c r="K307" s="10" t="str">
        <f aca="false">IF(AND(ISNUMBER(J307),E307&gt;0),J307/E307-1,"")</f>
        <v/>
      </c>
      <c r="L307" s="11"/>
      <c r="M307" s="12"/>
      <c r="N307" s="13" t="n">
        <f aca="false">IF(L307="Своя ціна",M307,IF(L307="Прийняти",IF(ISNUMBER(J307),J307,E307),E307))</f>
        <v>400</v>
      </c>
      <c r="O307" s="8"/>
      <c r="P307" s="14" t="s">
        <v>871</v>
      </c>
    </row>
    <row r="308" customFormat="false" ht="32.8" hidden="false" customHeight="false" outlineLevel="0" collapsed="false">
      <c r="A308" s="8" t="s">
        <v>13</v>
      </c>
      <c r="B308" s="8" t="s">
        <v>783</v>
      </c>
      <c r="C308" s="8" t="s">
        <v>872</v>
      </c>
      <c r="D308" s="8" t="s">
        <v>41</v>
      </c>
      <c r="E308" s="9" t="n">
        <v>250</v>
      </c>
      <c r="F308" s="9" t="n">
        <v>180</v>
      </c>
      <c r="G308" s="9" t="n">
        <v>265</v>
      </c>
      <c r="H308" s="9" t="n">
        <v>400</v>
      </c>
      <c r="I308" s="8" t="s">
        <v>128</v>
      </c>
      <c r="J308" s="9"/>
      <c r="K308" s="10" t="str">
        <f aca="false">IF(AND(ISNUMBER(J308),E308&gt;0),J308/E308-1,"")</f>
        <v/>
      </c>
      <c r="L308" s="11"/>
      <c r="M308" s="12"/>
      <c r="N308" s="13" t="n">
        <f aca="false">IF(L308="Своя ціна",M308,IF(L308="Прийняти",IF(ISNUMBER(J308),J308,E308),E308))</f>
        <v>250</v>
      </c>
      <c r="O308" s="8" t="s">
        <v>873</v>
      </c>
      <c r="P308" s="14" t="s">
        <v>874</v>
      </c>
    </row>
    <row r="309" customFormat="false" ht="43.25" hidden="false" customHeight="false" outlineLevel="0" collapsed="false">
      <c r="A309" s="8" t="s">
        <v>13</v>
      </c>
      <c r="B309" s="8" t="s">
        <v>783</v>
      </c>
      <c r="C309" s="8" t="s">
        <v>875</v>
      </c>
      <c r="D309" s="8" t="s">
        <v>41</v>
      </c>
      <c r="E309" s="9" t="n">
        <v>150</v>
      </c>
      <c r="F309" s="9" t="n">
        <v>80</v>
      </c>
      <c r="G309" s="9" t="n">
        <v>180</v>
      </c>
      <c r="H309" s="9" t="n">
        <v>250</v>
      </c>
      <c r="I309" s="8" t="s">
        <v>128</v>
      </c>
      <c r="J309" s="9"/>
      <c r="K309" s="10" t="str">
        <f aca="false">IF(AND(ISNUMBER(J309),E309&gt;0),J309/E309-1,"")</f>
        <v/>
      </c>
      <c r="L309" s="11"/>
      <c r="M309" s="12"/>
      <c r="N309" s="13" t="n">
        <f aca="false">IF(L309="Своя ціна",M309,IF(L309="Прийняти",IF(ISNUMBER(J309),J309,E309),E309))</f>
        <v>150</v>
      </c>
      <c r="O309" s="8"/>
      <c r="P309" s="14" t="s">
        <v>876</v>
      </c>
    </row>
  </sheetData>
  <autoFilter ref="A1:P309"/>
  <conditionalFormatting sqref="I2:I309">
    <cfRule type="expression" priority="2" aboveAverage="0" equalAverage="0" bottom="0" percent="0" rank="0" text="" dxfId="8">
      <formula>I2="підняти"</formula>
    </cfRule>
    <cfRule type="expression" priority="3" aboveAverage="0" equalAverage="0" bottom="0" percent="0" rank="0" text="" dxfId="9">
      <formula>I2="знизити"</formula>
    </cfRule>
    <cfRule type="expression" priority="4" aboveAverage="0" equalAverage="0" bottom="0" percent="0" rank="0" text="" dxfId="10">
      <formula>I2="неясно"</formula>
    </cfRule>
  </conditionalFormatting>
  <dataValidations count="1">
    <dataValidation allowBlank="true" errorStyle="stop" operator="between" showDropDown="false" showErrorMessage="false" showInputMessage="false" sqref="L2:L309" type="list">
      <formula1>"Прийняти,Відхилити,Своя ціна"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70"/>
    <col collapsed="false" customWidth="true" hidden="false" outlineLevel="0" max="8" min="7" style="0" width="13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7" t="s">
        <v>2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877</v>
      </c>
      <c r="G1" s="7" t="s">
        <v>32</v>
      </c>
      <c r="H1" s="7" t="s">
        <v>34</v>
      </c>
      <c r="I1" s="7" t="s">
        <v>878</v>
      </c>
    </row>
    <row r="2" customFormat="false" ht="23.85" hidden="false" customHeight="false" outlineLevel="0" collapsed="false">
      <c r="A2" s="8" t="s">
        <v>9</v>
      </c>
      <c r="B2" s="8" t="s">
        <v>59</v>
      </c>
      <c r="C2" s="8" t="s">
        <v>879</v>
      </c>
      <c r="D2" s="8" t="s">
        <v>41</v>
      </c>
      <c r="E2" s="9" t="n">
        <v>0</v>
      </c>
      <c r="F2" s="8" t="s">
        <v>880</v>
      </c>
      <c r="G2" s="9" t="n">
        <v>300</v>
      </c>
      <c r="H2" s="15"/>
      <c r="I2" s="15"/>
    </row>
    <row r="3" customFormat="false" ht="23.85" hidden="false" customHeight="false" outlineLevel="0" collapsed="false">
      <c r="A3" s="8" t="s">
        <v>9</v>
      </c>
      <c r="B3" s="8" t="s">
        <v>59</v>
      </c>
      <c r="C3" s="8" t="s">
        <v>77</v>
      </c>
      <c r="D3" s="8" t="s">
        <v>41</v>
      </c>
      <c r="E3" s="9" t="n">
        <v>0</v>
      </c>
      <c r="F3" s="8" t="s">
        <v>881</v>
      </c>
      <c r="G3" s="9" t="n">
        <v>1000</v>
      </c>
      <c r="H3" s="15"/>
      <c r="I3" s="15"/>
    </row>
    <row r="4" customFormat="false" ht="23.85" hidden="false" customHeight="false" outlineLevel="0" collapsed="false">
      <c r="A4" s="8" t="s">
        <v>9</v>
      </c>
      <c r="B4" s="8" t="s">
        <v>59</v>
      </c>
      <c r="C4" s="8" t="s">
        <v>882</v>
      </c>
      <c r="D4" s="8" t="s">
        <v>41</v>
      </c>
      <c r="E4" s="9" t="n">
        <v>0</v>
      </c>
      <c r="F4" s="8" t="s">
        <v>883</v>
      </c>
      <c r="G4" s="9" t="n">
        <v>900</v>
      </c>
      <c r="H4" s="15"/>
      <c r="I4" s="15"/>
    </row>
    <row r="5" customFormat="false" ht="15" hidden="false" customHeight="false" outlineLevel="0" collapsed="false">
      <c r="A5" s="8" t="s">
        <v>9</v>
      </c>
      <c r="B5" s="8" t="s">
        <v>59</v>
      </c>
      <c r="C5" s="8" t="s">
        <v>884</v>
      </c>
      <c r="D5" s="8" t="s">
        <v>41</v>
      </c>
      <c r="E5" s="9" t="n">
        <v>0</v>
      </c>
      <c r="F5" s="8" t="s">
        <v>885</v>
      </c>
      <c r="G5" s="9" t="n">
        <v>60</v>
      </c>
      <c r="H5" s="15"/>
      <c r="I5" s="15"/>
    </row>
    <row r="6" customFormat="false" ht="23.85" hidden="false" customHeight="false" outlineLevel="0" collapsed="false">
      <c r="A6" s="8" t="s">
        <v>9</v>
      </c>
      <c r="B6" s="8" t="s">
        <v>59</v>
      </c>
      <c r="C6" s="8" t="s">
        <v>886</v>
      </c>
      <c r="D6" s="8" t="s">
        <v>41</v>
      </c>
      <c r="E6" s="9" t="n">
        <v>0</v>
      </c>
      <c r="F6" s="8" t="s">
        <v>887</v>
      </c>
      <c r="G6" s="9" t="n">
        <v>200</v>
      </c>
      <c r="H6" s="15"/>
      <c r="I6" s="15"/>
    </row>
    <row r="7" customFormat="false" ht="15" hidden="false" customHeight="false" outlineLevel="0" collapsed="false">
      <c r="A7" s="8" t="s">
        <v>9</v>
      </c>
      <c r="B7" s="8" t="s">
        <v>59</v>
      </c>
      <c r="C7" s="8" t="s">
        <v>888</v>
      </c>
      <c r="D7" s="8" t="s">
        <v>61</v>
      </c>
      <c r="E7" s="9" t="n">
        <v>0</v>
      </c>
      <c r="F7" s="8" t="s">
        <v>889</v>
      </c>
      <c r="G7" s="9" t="n">
        <v>250</v>
      </c>
      <c r="H7" s="15"/>
      <c r="I7" s="15"/>
    </row>
    <row r="8" customFormat="false" ht="23.85" hidden="false" customHeight="false" outlineLevel="0" collapsed="false">
      <c r="A8" s="8" t="s">
        <v>9</v>
      </c>
      <c r="B8" s="8" t="s">
        <v>59</v>
      </c>
      <c r="C8" s="8" t="s">
        <v>890</v>
      </c>
      <c r="D8" s="8" t="s">
        <v>61</v>
      </c>
      <c r="E8" s="9" t="n">
        <v>0</v>
      </c>
      <c r="F8" s="8" t="s">
        <v>891</v>
      </c>
      <c r="G8" s="9"/>
      <c r="H8" s="15"/>
      <c r="I8" s="15"/>
    </row>
    <row r="9" customFormat="false" ht="23.85" hidden="false" customHeight="false" outlineLevel="0" collapsed="false">
      <c r="A9" s="8" t="s">
        <v>9</v>
      </c>
      <c r="B9" s="8" t="s">
        <v>59</v>
      </c>
      <c r="C9" s="8" t="s">
        <v>892</v>
      </c>
      <c r="D9" s="8" t="s">
        <v>61</v>
      </c>
      <c r="E9" s="9" t="n">
        <v>0</v>
      </c>
      <c r="F9" s="8" t="s">
        <v>893</v>
      </c>
      <c r="G9" s="9"/>
      <c r="H9" s="15"/>
      <c r="I9" s="15"/>
    </row>
    <row r="10" customFormat="false" ht="15" hidden="false" customHeight="false" outlineLevel="0" collapsed="false">
      <c r="A10" s="8" t="s">
        <v>9</v>
      </c>
      <c r="B10" s="8" t="s">
        <v>59</v>
      </c>
      <c r="C10" s="8" t="s">
        <v>894</v>
      </c>
      <c r="D10" s="8" t="s">
        <v>49</v>
      </c>
      <c r="E10" s="9" t="n">
        <v>0</v>
      </c>
      <c r="F10" s="8" t="s">
        <v>895</v>
      </c>
      <c r="G10" s="9"/>
      <c r="H10" s="15"/>
      <c r="I10" s="15"/>
    </row>
    <row r="11" customFormat="false" ht="23.85" hidden="false" customHeight="false" outlineLevel="0" collapsed="false">
      <c r="A11" s="8" t="s">
        <v>9</v>
      </c>
      <c r="B11" s="8" t="s">
        <v>59</v>
      </c>
      <c r="C11" s="8" t="s">
        <v>896</v>
      </c>
      <c r="D11" s="8" t="s">
        <v>897</v>
      </c>
      <c r="E11" s="9" t="n">
        <v>0</v>
      </c>
      <c r="F11" s="8" t="s">
        <v>898</v>
      </c>
      <c r="G11" s="9"/>
      <c r="H11" s="15"/>
      <c r="I11" s="15"/>
    </row>
    <row r="12" customFormat="false" ht="23.85" hidden="false" customHeight="false" outlineLevel="0" collapsed="false">
      <c r="A12" s="8" t="s">
        <v>9</v>
      </c>
      <c r="B12" s="8" t="s">
        <v>59</v>
      </c>
      <c r="C12" s="8" t="s">
        <v>899</v>
      </c>
      <c r="D12" s="8" t="s">
        <v>897</v>
      </c>
      <c r="E12" s="9" t="n">
        <v>0</v>
      </c>
      <c r="F12" s="8" t="s">
        <v>900</v>
      </c>
      <c r="G12" s="9" t="n">
        <v>30</v>
      </c>
      <c r="H12" s="15"/>
      <c r="I12" s="15"/>
    </row>
    <row r="13" customFormat="false" ht="23.85" hidden="false" customHeight="false" outlineLevel="0" collapsed="false">
      <c r="A13" s="8" t="s">
        <v>9</v>
      </c>
      <c r="B13" s="8" t="s">
        <v>59</v>
      </c>
      <c r="C13" s="8" t="s">
        <v>901</v>
      </c>
      <c r="D13" s="8" t="s">
        <v>41</v>
      </c>
      <c r="E13" s="9" t="n">
        <v>0</v>
      </c>
      <c r="F13" s="8" t="s">
        <v>902</v>
      </c>
      <c r="G13" s="9" t="n">
        <v>150</v>
      </c>
      <c r="H13" s="15"/>
      <c r="I13" s="15"/>
    </row>
    <row r="14" customFormat="false" ht="15" hidden="false" customHeight="false" outlineLevel="0" collapsed="false">
      <c r="A14" s="8" t="s">
        <v>9</v>
      </c>
      <c r="B14" s="8" t="s">
        <v>59</v>
      </c>
      <c r="C14" s="8" t="s">
        <v>903</v>
      </c>
      <c r="D14" s="8" t="s">
        <v>712</v>
      </c>
      <c r="E14" s="9" t="n">
        <v>0</v>
      </c>
      <c r="F14" s="8" t="s">
        <v>904</v>
      </c>
      <c r="G14" s="9" t="n">
        <v>600</v>
      </c>
      <c r="H14" s="15"/>
      <c r="I14" s="15"/>
    </row>
    <row r="15" customFormat="false" ht="15" hidden="false" customHeight="false" outlineLevel="0" collapsed="false">
      <c r="A15" s="8" t="s">
        <v>9</v>
      </c>
      <c r="B15" s="8" t="s">
        <v>59</v>
      </c>
      <c r="C15" s="8" t="s">
        <v>905</v>
      </c>
      <c r="D15" s="8" t="s">
        <v>41</v>
      </c>
      <c r="E15" s="9" t="n">
        <v>0</v>
      </c>
      <c r="F15" s="8" t="s">
        <v>906</v>
      </c>
      <c r="G15" s="9" t="n">
        <v>40</v>
      </c>
      <c r="H15" s="15"/>
      <c r="I15" s="15"/>
    </row>
    <row r="16" customFormat="false" ht="15" hidden="false" customHeight="false" outlineLevel="0" collapsed="false">
      <c r="A16" s="8" t="s">
        <v>9</v>
      </c>
      <c r="B16" s="8" t="s">
        <v>59</v>
      </c>
      <c r="C16" s="8" t="s">
        <v>907</v>
      </c>
      <c r="D16" s="8" t="s">
        <v>41</v>
      </c>
      <c r="E16" s="9" t="n">
        <v>0</v>
      </c>
      <c r="F16" s="8" t="s">
        <v>908</v>
      </c>
      <c r="G16" s="9" t="n">
        <v>30</v>
      </c>
      <c r="H16" s="15"/>
      <c r="I16" s="15"/>
    </row>
    <row r="17" customFormat="false" ht="23.85" hidden="false" customHeight="false" outlineLevel="0" collapsed="false">
      <c r="A17" s="8" t="s">
        <v>9</v>
      </c>
      <c r="B17" s="8" t="s">
        <v>59</v>
      </c>
      <c r="C17" s="8" t="s">
        <v>909</v>
      </c>
      <c r="D17" s="8" t="s">
        <v>61</v>
      </c>
      <c r="E17" s="9" t="n">
        <v>0</v>
      </c>
      <c r="F17" s="8" t="s">
        <v>910</v>
      </c>
      <c r="G17" s="9"/>
      <c r="H17" s="15"/>
      <c r="I17" s="15"/>
    </row>
    <row r="18" customFormat="false" ht="23.85" hidden="false" customHeight="false" outlineLevel="0" collapsed="false">
      <c r="A18" s="8" t="s">
        <v>9</v>
      </c>
      <c r="B18" s="8" t="s">
        <v>59</v>
      </c>
      <c r="C18" s="8" t="s">
        <v>911</v>
      </c>
      <c r="D18" s="8" t="s">
        <v>912</v>
      </c>
      <c r="E18" s="9" t="n">
        <v>1642</v>
      </c>
      <c r="F18" s="8" t="s">
        <v>913</v>
      </c>
      <c r="G18" s="9"/>
      <c r="H18" s="15"/>
      <c r="I18" s="15"/>
    </row>
    <row r="19" customFormat="false" ht="15" hidden="false" customHeight="false" outlineLevel="0" collapsed="false">
      <c r="A19" s="8" t="s">
        <v>9</v>
      </c>
      <c r="B19" s="8" t="s">
        <v>59</v>
      </c>
      <c r="C19" s="8" t="s">
        <v>914</v>
      </c>
      <c r="D19" s="8" t="s">
        <v>912</v>
      </c>
      <c r="E19" s="9" t="n">
        <v>1271</v>
      </c>
      <c r="F19" s="8" t="s">
        <v>915</v>
      </c>
      <c r="G19" s="9"/>
      <c r="H19" s="15"/>
      <c r="I19" s="15"/>
    </row>
    <row r="20" customFormat="false" ht="23.85" hidden="false" customHeight="false" outlineLevel="0" collapsed="false">
      <c r="A20" s="8" t="s">
        <v>9</v>
      </c>
      <c r="B20" s="8" t="s">
        <v>59</v>
      </c>
      <c r="C20" s="8" t="s">
        <v>916</v>
      </c>
      <c r="D20" s="8" t="s">
        <v>41</v>
      </c>
      <c r="E20" s="9" t="n">
        <v>287</v>
      </c>
      <c r="F20" s="8" t="s">
        <v>917</v>
      </c>
      <c r="G20" s="9" t="n">
        <v>320</v>
      </c>
      <c r="H20" s="15"/>
      <c r="I20" s="15"/>
    </row>
    <row r="21" customFormat="false" ht="23.85" hidden="false" customHeight="false" outlineLevel="0" collapsed="false">
      <c r="A21" s="8" t="s">
        <v>9</v>
      </c>
      <c r="B21" s="8" t="s">
        <v>59</v>
      </c>
      <c r="C21" s="8" t="s">
        <v>918</v>
      </c>
      <c r="D21" s="8" t="s">
        <v>49</v>
      </c>
      <c r="E21" s="9" t="n">
        <v>180</v>
      </c>
      <c r="F21" s="8" t="s">
        <v>919</v>
      </c>
      <c r="G21" s="9" t="n">
        <v>280</v>
      </c>
      <c r="H21" s="15"/>
      <c r="I21" s="15"/>
    </row>
    <row r="22" customFormat="false" ht="23.85" hidden="false" customHeight="false" outlineLevel="0" collapsed="false">
      <c r="A22" s="8" t="s">
        <v>9</v>
      </c>
      <c r="B22" s="8" t="s">
        <v>59</v>
      </c>
      <c r="C22" s="8" t="s">
        <v>920</v>
      </c>
      <c r="D22" s="8" t="s">
        <v>41</v>
      </c>
      <c r="E22" s="9" t="n">
        <v>247</v>
      </c>
      <c r="F22" s="8" t="s">
        <v>921</v>
      </c>
      <c r="G22" s="9" t="n">
        <v>100</v>
      </c>
      <c r="H22" s="15"/>
      <c r="I22" s="15"/>
    </row>
    <row r="23" customFormat="false" ht="23.85" hidden="false" customHeight="false" outlineLevel="0" collapsed="false">
      <c r="A23" s="8" t="s">
        <v>9</v>
      </c>
      <c r="B23" s="8" t="s">
        <v>59</v>
      </c>
      <c r="C23" s="8" t="s">
        <v>74</v>
      </c>
      <c r="D23" s="8" t="s">
        <v>41</v>
      </c>
      <c r="E23" s="9" t="n">
        <v>342</v>
      </c>
      <c r="F23" s="8" t="s">
        <v>922</v>
      </c>
      <c r="G23" s="9" t="n">
        <v>400</v>
      </c>
      <c r="H23" s="15"/>
      <c r="I23" s="15"/>
    </row>
    <row r="24" customFormat="false" ht="23.85" hidden="false" customHeight="false" outlineLevel="0" collapsed="false">
      <c r="A24" s="8" t="s">
        <v>9</v>
      </c>
      <c r="B24" s="8" t="s">
        <v>59</v>
      </c>
      <c r="C24" s="8" t="s">
        <v>117</v>
      </c>
      <c r="D24" s="8" t="s">
        <v>41</v>
      </c>
      <c r="E24" s="9" t="n">
        <v>392</v>
      </c>
      <c r="F24" s="8" t="s">
        <v>923</v>
      </c>
      <c r="G24" s="9" t="n">
        <v>230</v>
      </c>
      <c r="H24" s="15"/>
      <c r="I24" s="15"/>
    </row>
    <row r="25" customFormat="false" ht="23.85" hidden="false" customHeight="false" outlineLevel="0" collapsed="false">
      <c r="A25" s="8" t="s">
        <v>9</v>
      </c>
      <c r="B25" s="8" t="s">
        <v>39</v>
      </c>
      <c r="C25" s="8" t="s">
        <v>924</v>
      </c>
      <c r="D25" s="8" t="s">
        <v>41</v>
      </c>
      <c r="E25" s="9" t="n">
        <v>50</v>
      </c>
      <c r="F25" s="8" t="s">
        <v>925</v>
      </c>
      <c r="G25" s="9"/>
      <c r="H25" s="15"/>
      <c r="I25" s="15"/>
    </row>
    <row r="26" customFormat="false" ht="23.85" hidden="false" customHeight="false" outlineLevel="0" collapsed="false">
      <c r="A26" s="8" t="s">
        <v>9</v>
      </c>
      <c r="B26" s="8" t="s">
        <v>39</v>
      </c>
      <c r="C26" s="8" t="s">
        <v>926</v>
      </c>
      <c r="D26" s="8" t="s">
        <v>61</v>
      </c>
      <c r="E26" s="9" t="n">
        <v>500</v>
      </c>
      <c r="F26" s="8" t="s">
        <v>927</v>
      </c>
      <c r="G26" s="9"/>
      <c r="H26" s="15"/>
      <c r="I26" s="15"/>
    </row>
    <row r="27" customFormat="false" ht="15" hidden="false" customHeight="false" outlineLevel="0" collapsed="false">
      <c r="A27" s="8" t="s">
        <v>9</v>
      </c>
      <c r="B27" s="8" t="s">
        <v>39</v>
      </c>
      <c r="C27" s="8" t="s">
        <v>108</v>
      </c>
      <c r="D27" s="8" t="s">
        <v>41</v>
      </c>
      <c r="E27" s="9" t="n">
        <v>302</v>
      </c>
      <c r="F27" s="8" t="s">
        <v>928</v>
      </c>
      <c r="G27" s="9" t="n">
        <v>160</v>
      </c>
      <c r="H27" s="15"/>
      <c r="I27" s="15"/>
    </row>
    <row r="28" customFormat="false" ht="23.85" hidden="false" customHeight="false" outlineLevel="0" collapsed="false">
      <c r="A28" s="8" t="s">
        <v>9</v>
      </c>
      <c r="B28" s="8" t="s">
        <v>39</v>
      </c>
      <c r="C28" s="8" t="s">
        <v>111</v>
      </c>
      <c r="D28" s="8" t="s">
        <v>41</v>
      </c>
      <c r="E28" s="9" t="n">
        <v>134</v>
      </c>
      <c r="F28" s="8" t="s">
        <v>929</v>
      </c>
      <c r="G28" s="9" t="n">
        <v>60</v>
      </c>
      <c r="H28" s="15"/>
      <c r="I28" s="15"/>
    </row>
    <row r="29" customFormat="false" ht="23.85" hidden="false" customHeight="false" outlineLevel="0" collapsed="false">
      <c r="A29" s="8" t="s">
        <v>9</v>
      </c>
      <c r="B29" s="8" t="s">
        <v>39</v>
      </c>
      <c r="C29" s="8" t="s">
        <v>51</v>
      </c>
      <c r="D29" s="8" t="s">
        <v>41</v>
      </c>
      <c r="E29" s="9" t="n">
        <v>200</v>
      </c>
      <c r="F29" s="8" t="s">
        <v>930</v>
      </c>
      <c r="G29" s="9" t="n">
        <v>260</v>
      </c>
      <c r="H29" s="15"/>
      <c r="I29" s="15"/>
    </row>
    <row r="30" customFormat="false" ht="15" hidden="false" customHeight="false" outlineLevel="0" collapsed="false">
      <c r="A30" s="8" t="s">
        <v>9</v>
      </c>
      <c r="B30" s="8" t="s">
        <v>39</v>
      </c>
      <c r="C30" s="8" t="s">
        <v>40</v>
      </c>
      <c r="D30" s="8" t="s">
        <v>41</v>
      </c>
      <c r="E30" s="9" t="n">
        <v>20</v>
      </c>
      <c r="F30" s="8" t="s">
        <v>931</v>
      </c>
      <c r="G30" s="9" t="n">
        <v>100</v>
      </c>
      <c r="H30" s="15"/>
      <c r="I30" s="15"/>
    </row>
    <row r="31" customFormat="false" ht="15" hidden="false" customHeight="false" outlineLevel="0" collapsed="false">
      <c r="A31" s="8" t="s">
        <v>9</v>
      </c>
      <c r="B31" s="8" t="s">
        <v>39</v>
      </c>
      <c r="C31" s="8" t="s">
        <v>932</v>
      </c>
      <c r="D31" s="8" t="s">
        <v>49</v>
      </c>
      <c r="E31" s="9" t="n">
        <v>30</v>
      </c>
      <c r="F31" s="8" t="s">
        <v>933</v>
      </c>
      <c r="G31" s="9" t="n">
        <v>60</v>
      </c>
      <c r="H31" s="15"/>
      <c r="I31" s="15"/>
    </row>
    <row r="32" customFormat="false" ht="23.85" hidden="false" customHeight="false" outlineLevel="0" collapsed="false">
      <c r="A32" s="8" t="s">
        <v>9</v>
      </c>
      <c r="B32" s="8" t="s">
        <v>39</v>
      </c>
      <c r="C32" s="8" t="s">
        <v>104</v>
      </c>
      <c r="D32" s="8" t="s">
        <v>49</v>
      </c>
      <c r="E32" s="9" t="n">
        <v>400</v>
      </c>
      <c r="F32" s="8" t="s">
        <v>934</v>
      </c>
      <c r="G32" s="9" t="n">
        <v>210</v>
      </c>
      <c r="H32" s="15"/>
      <c r="I32" s="15"/>
    </row>
    <row r="33" customFormat="false" ht="23.85" hidden="false" customHeight="false" outlineLevel="0" collapsed="false">
      <c r="A33" s="8" t="s">
        <v>9</v>
      </c>
      <c r="B33" s="8" t="s">
        <v>59</v>
      </c>
      <c r="C33" s="8" t="s">
        <v>935</v>
      </c>
      <c r="D33" s="8" t="s">
        <v>897</v>
      </c>
      <c r="E33" s="9" t="n">
        <v>88</v>
      </c>
      <c r="F33" s="8" t="s">
        <v>936</v>
      </c>
      <c r="G33" s="9" t="n">
        <v>60</v>
      </c>
      <c r="H33" s="15"/>
      <c r="I33" s="15"/>
    </row>
    <row r="34" customFormat="false" ht="35.05" hidden="false" customHeight="false" outlineLevel="0" collapsed="false">
      <c r="A34" s="8" t="s">
        <v>10</v>
      </c>
      <c r="B34" s="8" t="s">
        <v>238</v>
      </c>
      <c r="C34" s="8" t="s">
        <v>937</v>
      </c>
      <c r="D34" s="8" t="s">
        <v>41</v>
      </c>
      <c r="E34" s="9" t="n">
        <v>280</v>
      </c>
      <c r="F34" s="8" t="s">
        <v>938</v>
      </c>
      <c r="G34" s="9" t="n">
        <v>400</v>
      </c>
      <c r="H34" s="15"/>
      <c r="I34" s="15"/>
    </row>
    <row r="35" customFormat="false" ht="23.85" hidden="false" customHeight="false" outlineLevel="0" collapsed="false">
      <c r="A35" s="8" t="s">
        <v>10</v>
      </c>
      <c r="B35" s="8" t="s">
        <v>238</v>
      </c>
      <c r="C35" s="8" t="s">
        <v>939</v>
      </c>
      <c r="D35" s="8" t="s">
        <v>41</v>
      </c>
      <c r="E35" s="9" t="n">
        <v>280</v>
      </c>
      <c r="F35" s="8" t="s">
        <v>940</v>
      </c>
      <c r="G35" s="9" t="n">
        <v>430</v>
      </c>
      <c r="H35" s="15"/>
      <c r="I35" s="15"/>
    </row>
    <row r="36" customFormat="false" ht="35.05" hidden="false" customHeight="false" outlineLevel="0" collapsed="false">
      <c r="A36" s="8" t="s">
        <v>10</v>
      </c>
      <c r="B36" s="8" t="s">
        <v>238</v>
      </c>
      <c r="C36" s="8" t="s">
        <v>941</v>
      </c>
      <c r="D36" s="8" t="s">
        <v>41</v>
      </c>
      <c r="E36" s="9" t="n">
        <v>270</v>
      </c>
      <c r="F36" s="8" t="s">
        <v>942</v>
      </c>
      <c r="G36" s="9"/>
      <c r="H36" s="15"/>
      <c r="I36" s="15"/>
    </row>
    <row r="37" customFormat="false" ht="35.05" hidden="false" customHeight="false" outlineLevel="0" collapsed="false">
      <c r="A37" s="8" t="s">
        <v>10</v>
      </c>
      <c r="B37" s="8" t="s">
        <v>238</v>
      </c>
      <c r="C37" s="8" t="s">
        <v>943</v>
      </c>
      <c r="D37" s="8" t="s">
        <v>49</v>
      </c>
      <c r="E37" s="9" t="n">
        <v>100</v>
      </c>
      <c r="F37" s="8" t="s">
        <v>944</v>
      </c>
      <c r="G37" s="9" t="n">
        <v>140</v>
      </c>
      <c r="H37" s="15"/>
      <c r="I37" s="15"/>
    </row>
    <row r="38" customFormat="false" ht="23.85" hidden="false" customHeight="false" outlineLevel="0" collapsed="false">
      <c r="A38" s="8" t="s">
        <v>10</v>
      </c>
      <c r="B38" s="8" t="s">
        <v>238</v>
      </c>
      <c r="C38" s="8" t="s">
        <v>945</v>
      </c>
      <c r="D38" s="8" t="s">
        <v>49</v>
      </c>
      <c r="E38" s="9" t="n">
        <v>220</v>
      </c>
      <c r="F38" s="8" t="s">
        <v>946</v>
      </c>
      <c r="G38" s="9" t="n">
        <v>140</v>
      </c>
      <c r="H38" s="15"/>
      <c r="I38" s="15"/>
    </row>
    <row r="39" customFormat="false" ht="23.85" hidden="false" customHeight="false" outlineLevel="0" collapsed="false">
      <c r="A39" s="8" t="s">
        <v>10</v>
      </c>
      <c r="B39" s="8" t="s">
        <v>238</v>
      </c>
      <c r="C39" s="8" t="s">
        <v>947</v>
      </c>
      <c r="D39" s="8" t="s">
        <v>41</v>
      </c>
      <c r="E39" s="9" t="n">
        <v>100</v>
      </c>
      <c r="F39" s="8" t="s">
        <v>948</v>
      </c>
      <c r="G39" s="9"/>
      <c r="H39" s="15"/>
      <c r="I39" s="15"/>
    </row>
    <row r="40" customFormat="false" ht="23.85" hidden="false" customHeight="false" outlineLevel="0" collapsed="false">
      <c r="A40" s="8" t="s">
        <v>10</v>
      </c>
      <c r="B40" s="8" t="s">
        <v>238</v>
      </c>
      <c r="C40" s="8" t="s">
        <v>949</v>
      </c>
      <c r="D40" s="8" t="s">
        <v>49</v>
      </c>
      <c r="E40" s="9" t="n">
        <v>260</v>
      </c>
      <c r="F40" s="8" t="s">
        <v>950</v>
      </c>
      <c r="G40" s="9" t="n">
        <v>80</v>
      </c>
      <c r="H40" s="15"/>
      <c r="I40" s="15"/>
    </row>
    <row r="41" customFormat="false" ht="23.85" hidden="false" customHeight="false" outlineLevel="0" collapsed="false">
      <c r="A41" s="8" t="s">
        <v>10</v>
      </c>
      <c r="B41" s="8" t="s">
        <v>238</v>
      </c>
      <c r="C41" s="8" t="s">
        <v>951</v>
      </c>
      <c r="D41" s="8" t="s">
        <v>41</v>
      </c>
      <c r="E41" s="9" t="n">
        <v>80</v>
      </c>
      <c r="F41" s="8" t="s">
        <v>952</v>
      </c>
      <c r="G41" s="9" t="n">
        <v>450</v>
      </c>
      <c r="H41" s="15"/>
      <c r="I41" s="15"/>
    </row>
    <row r="42" customFormat="false" ht="23.85" hidden="false" customHeight="false" outlineLevel="0" collapsed="false">
      <c r="A42" s="8" t="s">
        <v>10</v>
      </c>
      <c r="B42" s="8" t="s">
        <v>238</v>
      </c>
      <c r="C42" s="8" t="s">
        <v>953</v>
      </c>
      <c r="D42" s="8" t="s">
        <v>41</v>
      </c>
      <c r="E42" s="9" t="n">
        <v>80</v>
      </c>
      <c r="F42" s="8" t="s">
        <v>954</v>
      </c>
      <c r="G42" s="9" t="n">
        <v>350</v>
      </c>
      <c r="H42" s="15"/>
      <c r="I42" s="15"/>
    </row>
    <row r="43" customFormat="false" ht="23.85" hidden="false" customHeight="false" outlineLevel="0" collapsed="false">
      <c r="A43" s="8" t="s">
        <v>10</v>
      </c>
      <c r="B43" s="8" t="s">
        <v>238</v>
      </c>
      <c r="C43" s="8" t="s">
        <v>955</v>
      </c>
      <c r="D43" s="8" t="s">
        <v>41</v>
      </c>
      <c r="E43" s="9" t="n">
        <v>170</v>
      </c>
      <c r="F43" s="8" t="s">
        <v>956</v>
      </c>
      <c r="G43" s="9" t="n">
        <v>300</v>
      </c>
      <c r="H43" s="15"/>
      <c r="I43" s="15"/>
    </row>
    <row r="44" customFormat="false" ht="35.05" hidden="false" customHeight="false" outlineLevel="0" collapsed="false">
      <c r="A44" s="8" t="s">
        <v>10</v>
      </c>
      <c r="B44" s="8" t="s">
        <v>238</v>
      </c>
      <c r="C44" s="8" t="s">
        <v>957</v>
      </c>
      <c r="D44" s="8" t="s">
        <v>41</v>
      </c>
      <c r="E44" s="9" t="n">
        <v>340</v>
      </c>
      <c r="F44" s="8" t="s">
        <v>958</v>
      </c>
      <c r="G44" s="9"/>
      <c r="H44" s="15"/>
      <c r="I44" s="15"/>
    </row>
    <row r="45" customFormat="false" ht="23.85" hidden="false" customHeight="false" outlineLevel="0" collapsed="false">
      <c r="A45" s="8" t="s">
        <v>10</v>
      </c>
      <c r="B45" s="8" t="s">
        <v>238</v>
      </c>
      <c r="C45" s="8" t="s">
        <v>959</v>
      </c>
      <c r="D45" s="8" t="s">
        <v>41</v>
      </c>
      <c r="E45" s="9" t="n">
        <v>80</v>
      </c>
      <c r="F45" s="8" t="s">
        <v>960</v>
      </c>
      <c r="G45" s="9"/>
      <c r="H45" s="15"/>
      <c r="I45" s="15"/>
    </row>
    <row r="46" customFormat="false" ht="23.85" hidden="false" customHeight="false" outlineLevel="0" collapsed="false">
      <c r="A46" s="8" t="s">
        <v>10</v>
      </c>
      <c r="B46" s="8" t="s">
        <v>238</v>
      </c>
      <c r="C46" s="8" t="s">
        <v>961</v>
      </c>
      <c r="D46" s="8" t="s">
        <v>41</v>
      </c>
      <c r="E46" s="9" t="n">
        <v>30</v>
      </c>
      <c r="F46" s="8" t="s">
        <v>962</v>
      </c>
      <c r="G46" s="9" t="n">
        <v>60</v>
      </c>
      <c r="H46" s="15"/>
      <c r="I46" s="15"/>
    </row>
    <row r="47" customFormat="false" ht="23.85" hidden="false" customHeight="false" outlineLevel="0" collapsed="false">
      <c r="A47" s="8" t="s">
        <v>10</v>
      </c>
      <c r="B47" s="8" t="s">
        <v>238</v>
      </c>
      <c r="C47" s="8" t="s">
        <v>963</v>
      </c>
      <c r="D47" s="8" t="s">
        <v>41</v>
      </c>
      <c r="E47" s="9" t="n">
        <v>60</v>
      </c>
      <c r="F47" s="8" t="s">
        <v>964</v>
      </c>
      <c r="G47" s="9" t="n">
        <v>100</v>
      </c>
      <c r="H47" s="15"/>
      <c r="I47" s="15"/>
    </row>
    <row r="48" customFormat="false" ht="23.85" hidden="false" customHeight="false" outlineLevel="0" collapsed="false">
      <c r="A48" s="8" t="s">
        <v>10</v>
      </c>
      <c r="B48" s="8" t="s">
        <v>219</v>
      </c>
      <c r="C48" s="8" t="s">
        <v>760</v>
      </c>
      <c r="D48" s="8" t="s">
        <v>41</v>
      </c>
      <c r="E48" s="9" t="n">
        <v>60</v>
      </c>
      <c r="F48" s="8" t="s">
        <v>965</v>
      </c>
      <c r="G48" s="9" t="n">
        <v>150</v>
      </c>
      <c r="H48" s="15"/>
      <c r="I48" s="15"/>
    </row>
    <row r="49" customFormat="false" ht="23.85" hidden="false" customHeight="false" outlineLevel="0" collapsed="false">
      <c r="A49" s="8" t="s">
        <v>10</v>
      </c>
      <c r="B49" s="8" t="s">
        <v>219</v>
      </c>
      <c r="C49" s="8" t="s">
        <v>966</v>
      </c>
      <c r="D49" s="8" t="s">
        <v>41</v>
      </c>
      <c r="E49" s="9" t="n">
        <v>60</v>
      </c>
      <c r="F49" s="8" t="s">
        <v>967</v>
      </c>
      <c r="G49" s="9" t="n">
        <v>150</v>
      </c>
      <c r="H49" s="15"/>
      <c r="I49" s="15"/>
    </row>
    <row r="50" customFormat="false" ht="23.85" hidden="false" customHeight="false" outlineLevel="0" collapsed="false">
      <c r="A50" s="8" t="s">
        <v>10</v>
      </c>
      <c r="B50" s="8" t="s">
        <v>219</v>
      </c>
      <c r="C50" s="8" t="s">
        <v>968</v>
      </c>
      <c r="D50" s="8" t="s">
        <v>41</v>
      </c>
      <c r="E50" s="9" t="n">
        <v>450</v>
      </c>
      <c r="F50" s="8" t="s">
        <v>969</v>
      </c>
      <c r="G50" s="9" t="n">
        <v>700</v>
      </c>
      <c r="H50" s="15"/>
      <c r="I50" s="15"/>
    </row>
    <row r="51" customFormat="false" ht="23.85" hidden="false" customHeight="false" outlineLevel="0" collapsed="false">
      <c r="A51" s="8" t="s">
        <v>10</v>
      </c>
      <c r="B51" s="8" t="s">
        <v>219</v>
      </c>
      <c r="C51" s="8" t="s">
        <v>970</v>
      </c>
      <c r="D51" s="8" t="s">
        <v>49</v>
      </c>
      <c r="E51" s="9" t="n">
        <v>230</v>
      </c>
      <c r="F51" s="8" t="s">
        <v>971</v>
      </c>
      <c r="G51" s="9" t="n">
        <v>350</v>
      </c>
      <c r="H51" s="15"/>
      <c r="I51" s="15"/>
    </row>
    <row r="52" customFormat="false" ht="23.85" hidden="false" customHeight="false" outlineLevel="0" collapsed="false">
      <c r="A52" s="8" t="s">
        <v>10</v>
      </c>
      <c r="B52" s="8" t="s">
        <v>238</v>
      </c>
      <c r="C52" s="8" t="s">
        <v>972</v>
      </c>
      <c r="D52" s="8" t="s">
        <v>49</v>
      </c>
      <c r="E52" s="9" t="n">
        <v>600</v>
      </c>
      <c r="F52" s="8" t="s">
        <v>973</v>
      </c>
      <c r="G52" s="9" t="n">
        <v>300</v>
      </c>
      <c r="H52" s="15"/>
      <c r="I52" s="15"/>
    </row>
    <row r="53" customFormat="false" ht="35.05" hidden="false" customHeight="false" outlineLevel="0" collapsed="false">
      <c r="A53" s="8" t="s">
        <v>10</v>
      </c>
      <c r="B53" s="8" t="s">
        <v>238</v>
      </c>
      <c r="C53" s="8" t="s">
        <v>974</v>
      </c>
      <c r="D53" s="8" t="s">
        <v>41</v>
      </c>
      <c r="E53" s="9" t="n">
        <v>150</v>
      </c>
      <c r="F53" s="8" t="s">
        <v>975</v>
      </c>
      <c r="G53" s="9"/>
      <c r="H53" s="15"/>
      <c r="I53" s="15"/>
    </row>
    <row r="54" customFormat="false" ht="23.85" hidden="false" customHeight="false" outlineLevel="0" collapsed="false">
      <c r="A54" s="8" t="s">
        <v>10</v>
      </c>
      <c r="B54" s="8" t="s">
        <v>238</v>
      </c>
      <c r="C54" s="8" t="s">
        <v>976</v>
      </c>
      <c r="D54" s="8" t="s">
        <v>41</v>
      </c>
      <c r="E54" s="9" t="n">
        <v>33</v>
      </c>
      <c r="F54" s="8" t="s">
        <v>977</v>
      </c>
      <c r="G54" s="9" t="n">
        <v>40</v>
      </c>
      <c r="H54" s="15"/>
      <c r="I54" s="15"/>
    </row>
    <row r="55" customFormat="false" ht="23.85" hidden="false" customHeight="false" outlineLevel="0" collapsed="false">
      <c r="A55" s="8" t="s">
        <v>10</v>
      </c>
      <c r="B55" s="8" t="s">
        <v>219</v>
      </c>
      <c r="C55" s="8" t="s">
        <v>978</v>
      </c>
      <c r="D55" s="8" t="s">
        <v>41</v>
      </c>
      <c r="E55" s="9" t="n">
        <v>100</v>
      </c>
      <c r="F55" s="8" t="s">
        <v>979</v>
      </c>
      <c r="G55" s="9"/>
      <c r="H55" s="15"/>
      <c r="I55" s="15"/>
    </row>
    <row r="56" customFormat="false" ht="23.85" hidden="false" customHeight="false" outlineLevel="0" collapsed="false">
      <c r="A56" s="8" t="s">
        <v>10</v>
      </c>
      <c r="B56" s="8" t="s">
        <v>238</v>
      </c>
      <c r="C56" s="8" t="s">
        <v>980</v>
      </c>
      <c r="D56" s="8"/>
      <c r="E56" s="9" t="n">
        <v>0</v>
      </c>
      <c r="F56" s="8" t="s">
        <v>981</v>
      </c>
      <c r="G56" s="9"/>
      <c r="H56" s="15"/>
      <c r="I56" s="15"/>
    </row>
    <row r="57" customFormat="false" ht="35.05" hidden="false" customHeight="false" outlineLevel="0" collapsed="false">
      <c r="A57" s="8" t="s">
        <v>11</v>
      </c>
      <c r="B57" s="8" t="s">
        <v>11</v>
      </c>
      <c r="C57" s="8" t="s">
        <v>982</v>
      </c>
      <c r="D57" s="8" t="s">
        <v>49</v>
      </c>
      <c r="E57" s="9" t="n">
        <v>210</v>
      </c>
      <c r="F57" s="8" t="s">
        <v>983</v>
      </c>
      <c r="G57" s="9" t="n">
        <v>90</v>
      </c>
      <c r="H57" s="15"/>
      <c r="I57" s="15"/>
    </row>
    <row r="58" customFormat="false" ht="35.05" hidden="false" customHeight="false" outlineLevel="0" collapsed="false">
      <c r="A58" s="8" t="s">
        <v>11</v>
      </c>
      <c r="B58" s="8" t="s">
        <v>11</v>
      </c>
      <c r="C58" s="8" t="s">
        <v>984</v>
      </c>
      <c r="D58" s="8" t="s">
        <v>61</v>
      </c>
      <c r="E58" s="9" t="n">
        <v>200</v>
      </c>
      <c r="F58" s="8" t="s">
        <v>985</v>
      </c>
      <c r="G58" s="9" t="n">
        <v>100</v>
      </c>
      <c r="H58" s="15"/>
      <c r="I58" s="15"/>
    </row>
    <row r="59" customFormat="false" ht="35.05" hidden="false" customHeight="false" outlineLevel="0" collapsed="false">
      <c r="A59" s="8" t="s">
        <v>11</v>
      </c>
      <c r="B59" s="8" t="s">
        <v>11</v>
      </c>
      <c r="C59" s="8" t="s">
        <v>986</v>
      </c>
      <c r="D59" s="8" t="s">
        <v>61</v>
      </c>
      <c r="E59" s="9" t="n">
        <v>120</v>
      </c>
      <c r="F59" s="8" t="s">
        <v>987</v>
      </c>
      <c r="G59" s="9" t="n">
        <v>80</v>
      </c>
      <c r="H59" s="15"/>
      <c r="I59" s="15"/>
    </row>
    <row r="60" customFormat="false" ht="23.85" hidden="false" customHeight="false" outlineLevel="0" collapsed="false">
      <c r="A60" s="8" t="s">
        <v>11</v>
      </c>
      <c r="B60" s="8" t="s">
        <v>11</v>
      </c>
      <c r="C60" s="8" t="s">
        <v>988</v>
      </c>
      <c r="D60" s="8" t="s">
        <v>61</v>
      </c>
      <c r="E60" s="9" t="n">
        <v>120</v>
      </c>
      <c r="F60" s="8" t="s">
        <v>989</v>
      </c>
      <c r="G60" s="9" t="n">
        <v>90</v>
      </c>
      <c r="H60" s="15"/>
      <c r="I60" s="15"/>
    </row>
    <row r="61" customFormat="false" ht="35.05" hidden="false" customHeight="false" outlineLevel="0" collapsed="false">
      <c r="A61" s="8" t="s">
        <v>11</v>
      </c>
      <c r="B61" s="8" t="s">
        <v>11</v>
      </c>
      <c r="C61" s="8" t="s">
        <v>990</v>
      </c>
      <c r="D61" s="8" t="s">
        <v>61</v>
      </c>
      <c r="E61" s="9" t="n">
        <v>400</v>
      </c>
      <c r="F61" s="8" t="s">
        <v>991</v>
      </c>
      <c r="G61" s="9"/>
      <c r="H61" s="15"/>
      <c r="I61" s="15"/>
    </row>
    <row r="62" customFormat="false" ht="35.05" hidden="false" customHeight="false" outlineLevel="0" collapsed="false">
      <c r="A62" s="8" t="s">
        <v>11</v>
      </c>
      <c r="B62" s="8" t="s">
        <v>11</v>
      </c>
      <c r="C62" s="8" t="s">
        <v>992</v>
      </c>
      <c r="D62" s="8" t="s">
        <v>49</v>
      </c>
      <c r="E62" s="9" t="n">
        <v>210</v>
      </c>
      <c r="F62" s="8" t="s">
        <v>993</v>
      </c>
      <c r="G62" s="9" t="n">
        <v>60</v>
      </c>
      <c r="H62" s="15"/>
      <c r="I62" s="15"/>
    </row>
    <row r="63" customFormat="false" ht="46.25" hidden="false" customHeight="false" outlineLevel="0" collapsed="false">
      <c r="A63" s="8" t="s">
        <v>11</v>
      </c>
      <c r="B63" s="8" t="s">
        <v>11</v>
      </c>
      <c r="C63" s="8" t="s">
        <v>994</v>
      </c>
      <c r="D63" s="8" t="s">
        <v>61</v>
      </c>
      <c r="E63" s="9" t="n">
        <v>400</v>
      </c>
      <c r="F63" s="8" t="s">
        <v>995</v>
      </c>
      <c r="G63" s="9"/>
      <c r="H63" s="15"/>
      <c r="I63" s="15"/>
    </row>
    <row r="64" customFormat="false" ht="23.85" hidden="false" customHeight="false" outlineLevel="0" collapsed="false">
      <c r="A64" s="8" t="s">
        <v>11</v>
      </c>
      <c r="B64" s="8" t="s">
        <v>11</v>
      </c>
      <c r="C64" s="8" t="s">
        <v>996</v>
      </c>
      <c r="D64" s="8" t="s">
        <v>61</v>
      </c>
      <c r="E64" s="9" t="n">
        <v>700</v>
      </c>
      <c r="F64" s="8" t="s">
        <v>997</v>
      </c>
      <c r="G64" s="9" t="n">
        <v>1000</v>
      </c>
      <c r="H64" s="15"/>
      <c r="I64" s="15"/>
    </row>
    <row r="65" customFormat="false" ht="35.05" hidden="false" customHeight="false" outlineLevel="0" collapsed="false">
      <c r="A65" s="8" t="s">
        <v>11</v>
      </c>
      <c r="B65" s="8" t="s">
        <v>11</v>
      </c>
      <c r="C65" s="8" t="s">
        <v>998</v>
      </c>
      <c r="D65" s="8" t="s">
        <v>61</v>
      </c>
      <c r="E65" s="9" t="n">
        <v>400</v>
      </c>
      <c r="F65" s="8" t="s">
        <v>999</v>
      </c>
      <c r="G65" s="9"/>
      <c r="H65" s="15"/>
      <c r="I65" s="15"/>
    </row>
    <row r="66" customFormat="false" ht="23.85" hidden="false" customHeight="false" outlineLevel="0" collapsed="false">
      <c r="A66" s="8" t="s">
        <v>11</v>
      </c>
      <c r="B66" s="8" t="s">
        <v>11</v>
      </c>
      <c r="C66" s="8" t="s">
        <v>1000</v>
      </c>
      <c r="D66" s="8" t="s">
        <v>61</v>
      </c>
      <c r="E66" s="9" t="n">
        <v>400</v>
      </c>
      <c r="F66" s="8" t="s">
        <v>1001</v>
      </c>
      <c r="G66" s="9" t="n">
        <v>550</v>
      </c>
      <c r="H66" s="15"/>
      <c r="I66" s="15"/>
    </row>
    <row r="67" customFormat="false" ht="23.85" hidden="false" customHeight="false" outlineLevel="0" collapsed="false">
      <c r="A67" s="8" t="s">
        <v>11</v>
      </c>
      <c r="B67" s="8" t="s">
        <v>11</v>
      </c>
      <c r="C67" s="8" t="s">
        <v>353</v>
      </c>
      <c r="D67" s="8" t="s">
        <v>354</v>
      </c>
      <c r="E67" s="9" t="n">
        <v>8000</v>
      </c>
      <c r="F67" s="8" t="s">
        <v>1002</v>
      </c>
      <c r="G67" s="9" t="n">
        <v>10000</v>
      </c>
      <c r="H67" s="15"/>
      <c r="I67" s="15"/>
    </row>
    <row r="68" customFormat="false" ht="23.85" hidden="false" customHeight="false" outlineLevel="0" collapsed="false">
      <c r="A68" s="8" t="s">
        <v>11</v>
      </c>
      <c r="B68" s="8" t="s">
        <v>11</v>
      </c>
      <c r="C68" s="8" t="s">
        <v>1003</v>
      </c>
      <c r="D68" s="8" t="s">
        <v>61</v>
      </c>
      <c r="E68" s="9" t="n">
        <v>500</v>
      </c>
      <c r="F68" s="8" t="s">
        <v>1004</v>
      </c>
      <c r="G68" s="9" t="n">
        <v>300</v>
      </c>
      <c r="H68" s="15"/>
      <c r="I68" s="15"/>
    </row>
    <row r="69" customFormat="false" ht="35.05" hidden="false" customHeight="false" outlineLevel="0" collapsed="false">
      <c r="A69" s="8" t="s">
        <v>11</v>
      </c>
      <c r="B69" s="8" t="s">
        <v>11</v>
      </c>
      <c r="C69" s="8" t="s">
        <v>1005</v>
      </c>
      <c r="D69" s="8" t="s">
        <v>61</v>
      </c>
      <c r="E69" s="9" t="n">
        <v>738</v>
      </c>
      <c r="F69" s="8" t="s">
        <v>1006</v>
      </c>
      <c r="G69" s="9" t="n">
        <v>700</v>
      </c>
      <c r="H69" s="15"/>
      <c r="I69" s="15"/>
    </row>
    <row r="70" customFormat="false" ht="23.85" hidden="false" customHeight="false" outlineLevel="0" collapsed="false">
      <c r="A70" s="8" t="s">
        <v>11</v>
      </c>
      <c r="B70" s="8" t="s">
        <v>11</v>
      </c>
      <c r="C70" s="8" t="s">
        <v>1007</v>
      </c>
      <c r="D70" s="8" t="s">
        <v>49</v>
      </c>
      <c r="E70" s="9" t="n">
        <v>100</v>
      </c>
      <c r="F70" s="8" t="s">
        <v>1008</v>
      </c>
      <c r="G70" s="9"/>
      <c r="H70" s="15"/>
      <c r="I70" s="15"/>
    </row>
    <row r="71" customFormat="false" ht="35.05" hidden="false" customHeight="false" outlineLevel="0" collapsed="false">
      <c r="A71" s="8" t="s">
        <v>11</v>
      </c>
      <c r="B71" s="8" t="s">
        <v>11</v>
      </c>
      <c r="C71" s="8" t="s">
        <v>1009</v>
      </c>
      <c r="D71" s="8" t="s">
        <v>61</v>
      </c>
      <c r="E71" s="9" t="n">
        <v>450</v>
      </c>
      <c r="F71" s="8" t="s">
        <v>1010</v>
      </c>
      <c r="G71" s="9"/>
      <c r="H71" s="15"/>
      <c r="I71" s="15"/>
    </row>
    <row r="72" customFormat="false" ht="35.05" hidden="false" customHeight="false" outlineLevel="0" collapsed="false">
      <c r="A72" s="8" t="s">
        <v>11</v>
      </c>
      <c r="B72" s="8" t="s">
        <v>11</v>
      </c>
      <c r="C72" s="8" t="s">
        <v>1011</v>
      </c>
      <c r="D72" s="8" t="s">
        <v>61</v>
      </c>
      <c r="E72" s="9" t="n">
        <v>200</v>
      </c>
      <c r="F72" s="8" t="s">
        <v>1012</v>
      </c>
      <c r="G72" s="9"/>
      <c r="H72" s="15"/>
      <c r="I72" s="15"/>
    </row>
    <row r="73" customFormat="false" ht="35.05" hidden="false" customHeight="false" outlineLevel="0" collapsed="false">
      <c r="A73" s="8" t="s">
        <v>12</v>
      </c>
      <c r="B73" s="8" t="s">
        <v>12</v>
      </c>
      <c r="C73" s="8" t="s">
        <v>1013</v>
      </c>
      <c r="D73" s="8" t="s">
        <v>466</v>
      </c>
      <c r="E73" s="9" t="n">
        <v>825</v>
      </c>
      <c r="F73" s="8" t="s">
        <v>1014</v>
      </c>
      <c r="G73" s="9"/>
      <c r="H73" s="15"/>
      <c r="I73" s="15"/>
    </row>
    <row r="74" customFormat="false" ht="35.05" hidden="false" customHeight="false" outlineLevel="0" collapsed="false">
      <c r="A74" s="8" t="s">
        <v>12</v>
      </c>
      <c r="B74" s="8" t="s">
        <v>12</v>
      </c>
      <c r="C74" s="8" t="s">
        <v>1015</v>
      </c>
      <c r="D74" s="8" t="s">
        <v>466</v>
      </c>
      <c r="E74" s="9" t="n">
        <v>825</v>
      </c>
      <c r="F74" s="8" t="s">
        <v>1016</v>
      </c>
      <c r="G74" s="9" t="n">
        <v>7500</v>
      </c>
      <c r="H74" s="15"/>
      <c r="I74" s="15"/>
    </row>
    <row r="75" customFormat="false" ht="35.05" hidden="false" customHeight="false" outlineLevel="0" collapsed="false">
      <c r="A75" s="8" t="s">
        <v>12</v>
      </c>
      <c r="B75" s="8" t="s">
        <v>12</v>
      </c>
      <c r="C75" s="8" t="s">
        <v>1017</v>
      </c>
      <c r="D75" s="8" t="s">
        <v>61</v>
      </c>
      <c r="E75" s="9" t="n">
        <v>2000</v>
      </c>
      <c r="F75" s="8" t="s">
        <v>1018</v>
      </c>
      <c r="G75" s="9" t="n">
        <v>4000</v>
      </c>
      <c r="H75" s="15"/>
      <c r="I75" s="15"/>
    </row>
    <row r="76" customFormat="false" ht="35.05" hidden="false" customHeight="false" outlineLevel="0" collapsed="false">
      <c r="A76" s="8" t="s">
        <v>12</v>
      </c>
      <c r="B76" s="8" t="s">
        <v>12</v>
      </c>
      <c r="C76" s="8" t="s">
        <v>1019</v>
      </c>
      <c r="D76" s="8" t="s">
        <v>61</v>
      </c>
      <c r="E76" s="9" t="n">
        <v>1300</v>
      </c>
      <c r="F76" s="8" t="s">
        <v>1020</v>
      </c>
      <c r="G76" s="9"/>
      <c r="H76" s="15"/>
      <c r="I76" s="15"/>
    </row>
    <row r="77" customFormat="false" ht="23.85" hidden="false" customHeight="false" outlineLevel="0" collapsed="false">
      <c r="A77" s="8" t="s">
        <v>12</v>
      </c>
      <c r="B77" s="8" t="s">
        <v>12</v>
      </c>
      <c r="C77" s="8" t="s">
        <v>1021</v>
      </c>
      <c r="D77" s="8" t="s">
        <v>61</v>
      </c>
      <c r="E77" s="9" t="n">
        <v>1300</v>
      </c>
      <c r="F77" s="8" t="s">
        <v>1022</v>
      </c>
      <c r="G77" s="9" t="n">
        <v>500</v>
      </c>
      <c r="H77" s="15"/>
      <c r="I77" s="15"/>
    </row>
    <row r="78" customFormat="false" ht="23.85" hidden="false" customHeight="false" outlineLevel="0" collapsed="false">
      <c r="A78" s="8" t="s">
        <v>12</v>
      </c>
      <c r="B78" s="8" t="s">
        <v>12</v>
      </c>
      <c r="C78" s="8" t="s">
        <v>1023</v>
      </c>
      <c r="D78" s="8" t="s">
        <v>61</v>
      </c>
      <c r="E78" s="9" t="n">
        <v>1300</v>
      </c>
      <c r="F78" s="8" t="s">
        <v>1024</v>
      </c>
      <c r="G78" s="9" t="n">
        <v>800</v>
      </c>
      <c r="H78" s="15"/>
      <c r="I78" s="15"/>
    </row>
    <row r="79" customFormat="false" ht="35.05" hidden="false" customHeight="false" outlineLevel="0" collapsed="false">
      <c r="A79" s="8" t="s">
        <v>12</v>
      </c>
      <c r="B79" s="8" t="s">
        <v>12</v>
      </c>
      <c r="C79" s="8" t="s">
        <v>1025</v>
      </c>
      <c r="D79" s="8" t="s">
        <v>61</v>
      </c>
      <c r="E79" s="9" t="n">
        <v>1300</v>
      </c>
      <c r="F79" s="8" t="s">
        <v>1026</v>
      </c>
      <c r="G79" s="9"/>
      <c r="H79" s="15"/>
      <c r="I79" s="15"/>
    </row>
    <row r="80" customFormat="false" ht="23.85" hidden="false" customHeight="false" outlineLevel="0" collapsed="false">
      <c r="A80" s="8" t="s">
        <v>12</v>
      </c>
      <c r="B80" s="8" t="s">
        <v>12</v>
      </c>
      <c r="C80" s="8" t="s">
        <v>1027</v>
      </c>
      <c r="D80" s="8" t="s">
        <v>61</v>
      </c>
      <c r="E80" s="9" t="n">
        <v>300</v>
      </c>
      <c r="F80" s="8" t="s">
        <v>1028</v>
      </c>
      <c r="G80" s="9"/>
      <c r="H80" s="15"/>
      <c r="I80" s="15"/>
    </row>
    <row r="81" customFormat="false" ht="35.05" hidden="false" customHeight="false" outlineLevel="0" collapsed="false">
      <c r="A81" s="8" t="s">
        <v>12</v>
      </c>
      <c r="B81" s="8" t="s">
        <v>12</v>
      </c>
      <c r="C81" s="8" t="s">
        <v>1029</v>
      </c>
      <c r="D81" s="8" t="s">
        <v>61</v>
      </c>
      <c r="E81" s="9" t="n">
        <v>850</v>
      </c>
      <c r="F81" s="8" t="s">
        <v>1030</v>
      </c>
      <c r="G81" s="9" t="n">
        <v>2000</v>
      </c>
      <c r="H81" s="15"/>
      <c r="I81" s="15"/>
    </row>
    <row r="82" customFormat="false" ht="35.05" hidden="false" customHeight="false" outlineLevel="0" collapsed="false">
      <c r="A82" s="8" t="s">
        <v>12</v>
      </c>
      <c r="B82" s="8" t="s">
        <v>12</v>
      </c>
      <c r="C82" s="8" t="s">
        <v>1031</v>
      </c>
      <c r="D82" s="8" t="s">
        <v>61</v>
      </c>
      <c r="E82" s="9" t="n">
        <v>1800</v>
      </c>
      <c r="F82" s="8" t="s">
        <v>1032</v>
      </c>
      <c r="G82" s="9"/>
      <c r="H82" s="15"/>
      <c r="I82" s="15"/>
    </row>
    <row r="83" customFormat="false" ht="23.85" hidden="false" customHeight="false" outlineLevel="0" collapsed="false">
      <c r="A83" s="8" t="s">
        <v>12</v>
      </c>
      <c r="B83" s="8" t="s">
        <v>12</v>
      </c>
      <c r="C83" s="8" t="s">
        <v>582</v>
      </c>
      <c r="D83" s="8" t="s">
        <v>354</v>
      </c>
      <c r="E83" s="9" t="n">
        <v>400</v>
      </c>
      <c r="F83" s="8" t="s">
        <v>1033</v>
      </c>
      <c r="G83" s="9" t="n">
        <v>900</v>
      </c>
      <c r="H83" s="15"/>
      <c r="I83" s="15"/>
    </row>
    <row r="84" customFormat="false" ht="35.05" hidden="false" customHeight="false" outlineLevel="0" collapsed="false">
      <c r="A84" s="8" t="s">
        <v>12</v>
      </c>
      <c r="B84" s="8" t="s">
        <v>12</v>
      </c>
      <c r="C84" s="8" t="s">
        <v>1034</v>
      </c>
      <c r="D84" s="8" t="s">
        <v>354</v>
      </c>
      <c r="E84" s="9" t="n">
        <v>850</v>
      </c>
      <c r="F84" s="8" t="s">
        <v>1035</v>
      </c>
      <c r="G84" s="9"/>
      <c r="H84" s="15"/>
      <c r="I84" s="15"/>
    </row>
    <row r="85" customFormat="false" ht="35.05" hidden="false" customHeight="false" outlineLevel="0" collapsed="false">
      <c r="A85" s="8" t="s">
        <v>12</v>
      </c>
      <c r="B85" s="8" t="s">
        <v>12</v>
      </c>
      <c r="C85" s="8" t="s">
        <v>1036</v>
      </c>
      <c r="D85" s="8" t="s">
        <v>49</v>
      </c>
      <c r="E85" s="9" t="n">
        <v>150</v>
      </c>
      <c r="F85" s="8" t="s">
        <v>1037</v>
      </c>
      <c r="G85" s="9" t="n">
        <v>300</v>
      </c>
      <c r="H85" s="15"/>
      <c r="I85" s="15"/>
    </row>
    <row r="86" customFormat="false" ht="35.05" hidden="false" customHeight="false" outlineLevel="0" collapsed="false">
      <c r="A86" s="8" t="s">
        <v>12</v>
      </c>
      <c r="B86" s="8" t="s">
        <v>12</v>
      </c>
      <c r="C86" s="8" t="s">
        <v>1038</v>
      </c>
      <c r="D86" s="8" t="s">
        <v>49</v>
      </c>
      <c r="E86" s="9" t="n">
        <v>200</v>
      </c>
      <c r="F86" s="8" t="s">
        <v>1039</v>
      </c>
      <c r="G86" s="9" t="n">
        <v>450</v>
      </c>
      <c r="H86" s="15"/>
      <c r="I86" s="15"/>
    </row>
    <row r="87" customFormat="false" ht="23.85" hidden="false" customHeight="false" outlineLevel="0" collapsed="false">
      <c r="A87" s="8" t="s">
        <v>12</v>
      </c>
      <c r="B87" s="8" t="s">
        <v>12</v>
      </c>
      <c r="C87" s="8" t="s">
        <v>1040</v>
      </c>
      <c r="D87" s="8" t="s">
        <v>49</v>
      </c>
      <c r="E87" s="9" t="n">
        <v>220</v>
      </c>
      <c r="F87" s="8" t="s">
        <v>1041</v>
      </c>
      <c r="G87" s="9" t="n">
        <v>170</v>
      </c>
      <c r="H87" s="15"/>
      <c r="I87" s="15"/>
    </row>
    <row r="88" customFormat="false" ht="15" hidden="false" customHeight="false" outlineLevel="0" collapsed="false">
      <c r="A88" s="8" t="s">
        <v>12</v>
      </c>
      <c r="B88" s="8" t="s">
        <v>12</v>
      </c>
      <c r="C88" s="8" t="s">
        <v>1042</v>
      </c>
      <c r="D88" s="8" t="s">
        <v>61</v>
      </c>
      <c r="E88" s="9" t="n">
        <v>2532</v>
      </c>
      <c r="F88" s="8" t="s">
        <v>1043</v>
      </c>
      <c r="G88" s="9" t="n">
        <v>3000</v>
      </c>
      <c r="H88" s="15"/>
      <c r="I88" s="15"/>
    </row>
    <row r="89" customFormat="false" ht="35.05" hidden="false" customHeight="false" outlineLevel="0" collapsed="false">
      <c r="A89" s="8" t="s">
        <v>12</v>
      </c>
      <c r="B89" s="8" t="s">
        <v>12</v>
      </c>
      <c r="C89" s="8" t="s">
        <v>603</v>
      </c>
      <c r="D89" s="8" t="s">
        <v>61</v>
      </c>
      <c r="E89" s="9" t="n">
        <v>10056</v>
      </c>
      <c r="F89" s="8" t="s">
        <v>1044</v>
      </c>
      <c r="G89" s="9" t="n">
        <v>13000</v>
      </c>
      <c r="H89" s="15"/>
      <c r="I89" s="15"/>
    </row>
    <row r="90" customFormat="false" ht="23.85" hidden="false" customHeight="false" outlineLevel="0" collapsed="false">
      <c r="A90" s="8" t="s">
        <v>12</v>
      </c>
      <c r="B90" s="8" t="s">
        <v>12</v>
      </c>
      <c r="C90" s="8" t="s">
        <v>544</v>
      </c>
      <c r="D90" s="8" t="s">
        <v>466</v>
      </c>
      <c r="E90" s="9" t="n">
        <v>1300</v>
      </c>
      <c r="F90" s="8" t="s">
        <v>1045</v>
      </c>
      <c r="G90" s="9" t="n">
        <v>2000</v>
      </c>
      <c r="H90" s="15"/>
      <c r="I90" s="15"/>
    </row>
    <row r="91" customFormat="false" ht="23.85" hidden="false" customHeight="false" outlineLevel="0" collapsed="false">
      <c r="A91" s="8" t="s">
        <v>12</v>
      </c>
      <c r="B91" s="8" t="s">
        <v>12</v>
      </c>
      <c r="C91" s="8" t="s">
        <v>669</v>
      </c>
      <c r="D91" s="8" t="s">
        <v>354</v>
      </c>
      <c r="E91" s="9" t="n">
        <v>750</v>
      </c>
      <c r="F91" s="8" t="s">
        <v>1046</v>
      </c>
      <c r="G91" s="9"/>
      <c r="H91" s="15"/>
      <c r="I91" s="15"/>
    </row>
    <row r="92" customFormat="false" ht="23.85" hidden="false" customHeight="false" outlineLevel="0" collapsed="false">
      <c r="A92" s="8" t="s">
        <v>12</v>
      </c>
      <c r="B92" s="8" t="s">
        <v>12</v>
      </c>
      <c r="C92" s="8" t="s">
        <v>1047</v>
      </c>
      <c r="D92" s="8" t="s">
        <v>61</v>
      </c>
      <c r="E92" s="9" t="n">
        <v>300</v>
      </c>
      <c r="F92" s="8" t="s">
        <v>1048</v>
      </c>
      <c r="G92" s="9"/>
      <c r="H92" s="15"/>
      <c r="I92" s="15"/>
    </row>
    <row r="93" customFormat="false" ht="23.85" hidden="false" customHeight="false" outlineLevel="0" collapsed="false">
      <c r="A93" s="8" t="s">
        <v>12</v>
      </c>
      <c r="B93" s="8" t="s">
        <v>12</v>
      </c>
      <c r="C93" s="8" t="s">
        <v>1049</v>
      </c>
      <c r="D93" s="8" t="s">
        <v>61</v>
      </c>
      <c r="E93" s="9" t="n">
        <v>500</v>
      </c>
      <c r="F93" s="8" t="s">
        <v>1050</v>
      </c>
      <c r="G93" s="9"/>
      <c r="H93" s="15"/>
      <c r="I93" s="15"/>
    </row>
    <row r="94" customFormat="false" ht="35.05" hidden="false" customHeight="false" outlineLevel="0" collapsed="false">
      <c r="A94" s="8" t="s">
        <v>12</v>
      </c>
      <c r="B94" s="8" t="s">
        <v>12</v>
      </c>
      <c r="C94" s="8" t="s">
        <v>1051</v>
      </c>
      <c r="D94" s="8" t="s">
        <v>49</v>
      </c>
      <c r="E94" s="9" t="n">
        <v>50</v>
      </c>
      <c r="F94" s="8" t="s">
        <v>1052</v>
      </c>
      <c r="G94" s="9"/>
      <c r="H94" s="15"/>
      <c r="I94" s="15"/>
    </row>
    <row r="95" customFormat="false" ht="23.85" hidden="false" customHeight="false" outlineLevel="0" collapsed="false">
      <c r="A95" s="8" t="s">
        <v>12</v>
      </c>
      <c r="B95" s="8" t="s">
        <v>12</v>
      </c>
      <c r="C95" s="8" t="s">
        <v>1053</v>
      </c>
      <c r="D95" s="8" t="s">
        <v>61</v>
      </c>
      <c r="E95" s="9" t="n">
        <v>400</v>
      </c>
      <c r="F95" s="8" t="s">
        <v>1054</v>
      </c>
      <c r="G95" s="9"/>
      <c r="H95" s="15"/>
      <c r="I95" s="15"/>
    </row>
    <row r="96" customFormat="false" ht="35.05" hidden="false" customHeight="false" outlineLevel="0" collapsed="false">
      <c r="A96" s="8" t="s">
        <v>12</v>
      </c>
      <c r="B96" s="8" t="s">
        <v>12</v>
      </c>
      <c r="C96" s="8" t="s">
        <v>1055</v>
      </c>
      <c r="D96" s="8" t="s">
        <v>61</v>
      </c>
      <c r="E96" s="9" t="n">
        <v>1500</v>
      </c>
      <c r="F96" s="8" t="s">
        <v>1056</v>
      </c>
      <c r="G96" s="9"/>
      <c r="H96" s="15"/>
      <c r="I96" s="15"/>
    </row>
    <row r="97" customFormat="false" ht="57.45" hidden="false" customHeight="false" outlineLevel="0" collapsed="false">
      <c r="A97" s="8" t="s">
        <v>13</v>
      </c>
      <c r="B97" s="8" t="s">
        <v>744</v>
      </c>
      <c r="C97" s="8" t="s">
        <v>1057</v>
      </c>
      <c r="D97" s="8" t="s">
        <v>61</v>
      </c>
      <c r="E97" s="9" t="n">
        <v>263</v>
      </c>
      <c r="F97" s="8" t="s">
        <v>1058</v>
      </c>
      <c r="G97" s="9" t="n">
        <v>15</v>
      </c>
      <c r="H97" s="15"/>
      <c r="I97" s="15"/>
    </row>
    <row r="98" customFormat="false" ht="23.85" hidden="false" customHeight="false" outlineLevel="0" collapsed="false">
      <c r="A98" s="8" t="s">
        <v>13</v>
      </c>
      <c r="B98" s="8" t="s">
        <v>783</v>
      </c>
      <c r="C98" s="8" t="s">
        <v>784</v>
      </c>
      <c r="D98" s="8" t="s">
        <v>61</v>
      </c>
      <c r="E98" s="9" t="n">
        <v>900</v>
      </c>
      <c r="F98" s="8" t="s">
        <v>1059</v>
      </c>
      <c r="G98" s="9" t="n">
        <v>1350</v>
      </c>
      <c r="H98" s="15"/>
      <c r="I98" s="15"/>
    </row>
    <row r="99" customFormat="false" ht="46.25" hidden="false" customHeight="false" outlineLevel="0" collapsed="false">
      <c r="A99" s="8" t="s">
        <v>13</v>
      </c>
      <c r="B99" s="8" t="s">
        <v>710</v>
      </c>
      <c r="C99" s="8" t="s">
        <v>1060</v>
      </c>
      <c r="D99" s="8" t="s">
        <v>41</v>
      </c>
      <c r="E99" s="9" t="n">
        <v>11800</v>
      </c>
      <c r="F99" s="8" t="s">
        <v>1061</v>
      </c>
      <c r="G99" s="9" t="n">
        <v>2800</v>
      </c>
      <c r="H99" s="15"/>
      <c r="I99" s="15"/>
    </row>
    <row r="100" customFormat="false" ht="46.25" hidden="false" customHeight="false" outlineLevel="0" collapsed="false">
      <c r="A100" s="8" t="s">
        <v>13</v>
      </c>
      <c r="B100" s="8" t="s">
        <v>710</v>
      </c>
      <c r="C100" s="8" t="s">
        <v>1062</v>
      </c>
      <c r="D100" s="8" t="s">
        <v>41</v>
      </c>
      <c r="E100" s="9" t="n">
        <v>630</v>
      </c>
      <c r="F100" s="8" t="s">
        <v>1063</v>
      </c>
      <c r="G100" s="9"/>
      <c r="H100" s="15"/>
      <c r="I100" s="15"/>
    </row>
    <row r="101" customFormat="false" ht="46.25" hidden="false" customHeight="false" outlineLevel="0" collapsed="false">
      <c r="A101" s="8" t="s">
        <v>13</v>
      </c>
      <c r="B101" s="8" t="s">
        <v>710</v>
      </c>
      <c r="C101" s="8" t="s">
        <v>1064</v>
      </c>
      <c r="D101" s="8" t="s">
        <v>61</v>
      </c>
      <c r="E101" s="9" t="n">
        <v>1350</v>
      </c>
      <c r="F101" s="8" t="s">
        <v>1065</v>
      </c>
      <c r="G101" s="9" t="n">
        <v>2300</v>
      </c>
      <c r="H101" s="15"/>
      <c r="I101" s="15"/>
    </row>
    <row r="102" customFormat="false" ht="23.85" hidden="false" customHeight="false" outlineLevel="0" collapsed="false">
      <c r="A102" s="8" t="s">
        <v>13</v>
      </c>
      <c r="B102" s="8" t="s">
        <v>710</v>
      </c>
      <c r="C102" s="8" t="s">
        <v>1066</v>
      </c>
      <c r="D102" s="8" t="s">
        <v>61</v>
      </c>
      <c r="E102" s="9" t="n">
        <v>1350</v>
      </c>
      <c r="F102" s="8" t="s">
        <v>1067</v>
      </c>
      <c r="G102" s="9"/>
      <c r="H102" s="15"/>
      <c r="I102" s="15"/>
    </row>
    <row r="103" customFormat="false" ht="35.05" hidden="false" customHeight="false" outlineLevel="0" collapsed="false">
      <c r="A103" s="8" t="s">
        <v>13</v>
      </c>
      <c r="B103" s="8" t="s">
        <v>710</v>
      </c>
      <c r="C103" s="8" t="s">
        <v>1068</v>
      </c>
      <c r="D103" s="8" t="s">
        <v>61</v>
      </c>
      <c r="E103" s="9" t="n">
        <v>1350</v>
      </c>
      <c r="F103" s="8" t="s">
        <v>1069</v>
      </c>
      <c r="G103" s="9" t="n">
        <v>550</v>
      </c>
      <c r="H103" s="15"/>
      <c r="I103" s="15"/>
    </row>
    <row r="104" customFormat="false" ht="23.85" hidden="false" customHeight="false" outlineLevel="0" collapsed="false">
      <c r="A104" s="8" t="s">
        <v>13</v>
      </c>
      <c r="B104" s="8" t="s">
        <v>710</v>
      </c>
      <c r="C104" s="8" t="s">
        <v>1070</v>
      </c>
      <c r="D104" s="8" t="s">
        <v>61</v>
      </c>
      <c r="E104" s="9" t="n">
        <v>1350</v>
      </c>
      <c r="F104" s="8" t="s">
        <v>1071</v>
      </c>
      <c r="G104" s="9" t="n">
        <v>850</v>
      </c>
      <c r="H104" s="15"/>
      <c r="I104" s="15"/>
    </row>
    <row r="105" customFormat="false" ht="23.85" hidden="false" customHeight="false" outlineLevel="0" collapsed="false">
      <c r="A105" s="8" t="s">
        <v>13</v>
      </c>
      <c r="B105" s="8" t="s">
        <v>710</v>
      </c>
      <c r="C105" s="8" t="s">
        <v>1072</v>
      </c>
      <c r="D105" s="8" t="s">
        <v>61</v>
      </c>
      <c r="E105" s="9" t="n">
        <v>1350</v>
      </c>
      <c r="F105" s="8" t="s">
        <v>1073</v>
      </c>
      <c r="G105" s="9"/>
      <c r="H105" s="15"/>
      <c r="I105" s="15"/>
    </row>
    <row r="106" customFormat="false" ht="23.85" hidden="false" customHeight="false" outlineLevel="0" collapsed="false">
      <c r="A106" s="8" t="s">
        <v>13</v>
      </c>
      <c r="B106" s="8" t="s">
        <v>710</v>
      </c>
      <c r="C106" s="8" t="s">
        <v>1074</v>
      </c>
      <c r="D106" s="8" t="s">
        <v>61</v>
      </c>
      <c r="E106" s="9" t="n">
        <v>1350</v>
      </c>
      <c r="F106" s="8" t="s">
        <v>1075</v>
      </c>
      <c r="G106" s="9"/>
      <c r="H106" s="15"/>
      <c r="I106" s="15"/>
    </row>
    <row r="107" customFormat="false" ht="23.85" hidden="false" customHeight="false" outlineLevel="0" collapsed="false">
      <c r="A107" s="8" t="s">
        <v>13</v>
      </c>
      <c r="B107" s="8" t="s">
        <v>710</v>
      </c>
      <c r="C107" s="8" t="s">
        <v>1076</v>
      </c>
      <c r="D107" s="8" t="s">
        <v>61</v>
      </c>
      <c r="E107" s="9" t="n">
        <v>1350</v>
      </c>
      <c r="F107" s="8" t="s">
        <v>1077</v>
      </c>
      <c r="G107" s="9"/>
      <c r="H107" s="15"/>
      <c r="I107" s="15"/>
    </row>
    <row r="108" customFormat="false" ht="35.05" hidden="false" customHeight="false" outlineLevel="0" collapsed="false">
      <c r="A108" s="8" t="s">
        <v>13</v>
      </c>
      <c r="B108" s="8" t="s">
        <v>710</v>
      </c>
      <c r="C108" s="8" t="s">
        <v>1078</v>
      </c>
      <c r="D108" s="8" t="s">
        <v>61</v>
      </c>
      <c r="E108" s="9" t="n">
        <v>1350</v>
      </c>
      <c r="F108" s="8" t="s">
        <v>1079</v>
      </c>
      <c r="G108" s="9"/>
      <c r="H108" s="15"/>
      <c r="I108" s="15"/>
    </row>
    <row r="109" customFormat="false" ht="35.05" hidden="false" customHeight="false" outlineLevel="0" collapsed="false">
      <c r="A109" s="8" t="s">
        <v>13</v>
      </c>
      <c r="B109" s="8" t="s">
        <v>744</v>
      </c>
      <c r="C109" s="8" t="s">
        <v>1080</v>
      </c>
      <c r="D109" s="8" t="s">
        <v>61</v>
      </c>
      <c r="E109" s="9" t="n">
        <v>225</v>
      </c>
      <c r="F109" s="8" t="s">
        <v>1081</v>
      </c>
      <c r="G109" s="9"/>
      <c r="H109" s="15"/>
      <c r="I109" s="15"/>
    </row>
    <row r="110" customFormat="false" ht="23.85" hidden="false" customHeight="false" outlineLevel="0" collapsed="false">
      <c r="A110" s="8" t="s">
        <v>13</v>
      </c>
      <c r="B110" s="8" t="s">
        <v>710</v>
      </c>
      <c r="C110" s="8" t="s">
        <v>1082</v>
      </c>
      <c r="D110" s="8" t="s">
        <v>41</v>
      </c>
      <c r="E110" s="9" t="n">
        <v>270</v>
      </c>
      <c r="F110" s="8" t="s">
        <v>1083</v>
      </c>
      <c r="G110" s="9" t="n">
        <v>580</v>
      </c>
      <c r="H110" s="15"/>
      <c r="I110" s="15"/>
    </row>
    <row r="111" customFormat="false" ht="23.85" hidden="false" customHeight="false" outlineLevel="0" collapsed="false">
      <c r="A111" s="8" t="s">
        <v>13</v>
      </c>
      <c r="B111" s="8" t="s">
        <v>710</v>
      </c>
      <c r="C111" s="8" t="s">
        <v>1084</v>
      </c>
      <c r="D111" s="8" t="s">
        <v>49</v>
      </c>
      <c r="E111" s="9" t="n">
        <v>250</v>
      </c>
      <c r="F111" s="8" t="s">
        <v>1085</v>
      </c>
      <c r="G111" s="9" t="n">
        <v>90</v>
      </c>
      <c r="H111" s="15"/>
      <c r="I111" s="15"/>
    </row>
    <row r="112" customFormat="false" ht="23.85" hidden="false" customHeight="false" outlineLevel="0" collapsed="false">
      <c r="A112" s="8" t="s">
        <v>13</v>
      </c>
      <c r="B112" s="8" t="s">
        <v>710</v>
      </c>
      <c r="C112" s="8" t="s">
        <v>1086</v>
      </c>
      <c r="D112" s="8" t="s">
        <v>49</v>
      </c>
      <c r="E112" s="9" t="n">
        <v>150</v>
      </c>
      <c r="F112" s="8" t="s">
        <v>1087</v>
      </c>
      <c r="G112" s="9" t="n">
        <v>400</v>
      </c>
      <c r="H112" s="15"/>
      <c r="I112" s="15"/>
    </row>
    <row r="113" customFormat="false" ht="23.85" hidden="false" customHeight="false" outlineLevel="0" collapsed="false">
      <c r="A113" s="8" t="s">
        <v>13</v>
      </c>
      <c r="B113" s="8" t="s">
        <v>710</v>
      </c>
      <c r="C113" s="8" t="s">
        <v>1088</v>
      </c>
      <c r="D113" s="8" t="s">
        <v>712</v>
      </c>
      <c r="E113" s="9" t="n">
        <v>250</v>
      </c>
      <c r="F113" s="8" t="s">
        <v>1089</v>
      </c>
      <c r="G113" s="9" t="n">
        <v>1000</v>
      </c>
      <c r="H113" s="15"/>
      <c r="I113" s="15"/>
    </row>
    <row r="114" customFormat="false" ht="23.85" hidden="false" customHeight="false" outlineLevel="0" collapsed="false">
      <c r="A114" s="8" t="s">
        <v>13</v>
      </c>
      <c r="B114" s="8" t="s">
        <v>710</v>
      </c>
      <c r="C114" s="8" t="s">
        <v>1090</v>
      </c>
      <c r="D114" s="8" t="s">
        <v>712</v>
      </c>
      <c r="E114" s="9" t="n">
        <v>3050</v>
      </c>
      <c r="F114" s="8" t="s">
        <v>1091</v>
      </c>
      <c r="G114" s="9" t="n">
        <v>6500</v>
      </c>
      <c r="H114" s="15"/>
      <c r="I114" s="15"/>
    </row>
    <row r="115" customFormat="false" ht="23.85" hidden="false" customHeight="false" outlineLevel="0" collapsed="false">
      <c r="A115" s="8" t="s">
        <v>13</v>
      </c>
      <c r="B115" s="8" t="s">
        <v>710</v>
      </c>
      <c r="C115" s="8" t="s">
        <v>1092</v>
      </c>
      <c r="D115" s="8" t="s">
        <v>61</v>
      </c>
      <c r="E115" s="9" t="n">
        <v>200</v>
      </c>
      <c r="F115" s="8" t="s">
        <v>1093</v>
      </c>
      <c r="G115" s="9" t="n">
        <v>1200</v>
      </c>
      <c r="H115" s="15"/>
      <c r="I115" s="15"/>
    </row>
    <row r="116" customFormat="false" ht="23.85" hidden="false" customHeight="false" outlineLevel="0" collapsed="false">
      <c r="A116" s="8" t="s">
        <v>13</v>
      </c>
      <c r="B116" s="8" t="s">
        <v>710</v>
      </c>
      <c r="C116" s="8" t="s">
        <v>1094</v>
      </c>
      <c r="D116" s="8" t="s">
        <v>49</v>
      </c>
      <c r="E116" s="9" t="n">
        <v>100</v>
      </c>
      <c r="F116" s="8" t="s">
        <v>1095</v>
      </c>
      <c r="G116" s="9" t="n">
        <v>200</v>
      </c>
      <c r="H116" s="15"/>
      <c r="I116" s="15"/>
    </row>
    <row r="117" customFormat="false" ht="23.85" hidden="false" customHeight="false" outlineLevel="0" collapsed="false">
      <c r="A117" s="8" t="s">
        <v>13</v>
      </c>
      <c r="B117" s="8" t="s">
        <v>710</v>
      </c>
      <c r="C117" s="8" t="s">
        <v>1096</v>
      </c>
      <c r="D117" s="8" t="s">
        <v>41</v>
      </c>
      <c r="E117" s="9" t="n">
        <v>182</v>
      </c>
      <c r="F117" s="8" t="s">
        <v>1097</v>
      </c>
      <c r="G117" s="9"/>
      <c r="H117" s="15"/>
      <c r="I117" s="15"/>
    </row>
    <row r="118" customFormat="false" ht="23.85" hidden="false" customHeight="false" outlineLevel="0" collapsed="false">
      <c r="A118" s="8" t="s">
        <v>13</v>
      </c>
      <c r="B118" s="8" t="s">
        <v>710</v>
      </c>
      <c r="C118" s="8" t="s">
        <v>1098</v>
      </c>
      <c r="D118" s="8" t="s">
        <v>41</v>
      </c>
      <c r="E118" s="9" t="n">
        <v>135</v>
      </c>
      <c r="F118" s="8" t="s">
        <v>1099</v>
      </c>
      <c r="G118" s="9"/>
      <c r="H118" s="15"/>
      <c r="I118" s="15"/>
    </row>
    <row r="119" customFormat="false" ht="23.85" hidden="false" customHeight="false" outlineLevel="0" collapsed="false">
      <c r="A119" s="8" t="s">
        <v>13</v>
      </c>
      <c r="B119" s="8" t="s">
        <v>710</v>
      </c>
      <c r="C119" s="8" t="s">
        <v>1100</v>
      </c>
      <c r="D119" s="8" t="s">
        <v>41</v>
      </c>
      <c r="E119" s="9" t="n">
        <v>750</v>
      </c>
      <c r="F119" s="8" t="s">
        <v>1101</v>
      </c>
      <c r="G119" s="9" t="n">
        <v>1100</v>
      </c>
      <c r="H119" s="15"/>
      <c r="I119" s="15"/>
    </row>
    <row r="120" customFormat="false" ht="35.05" hidden="false" customHeight="false" outlineLevel="0" collapsed="false">
      <c r="A120" s="8" t="s">
        <v>13</v>
      </c>
      <c r="B120" s="8" t="s">
        <v>710</v>
      </c>
      <c r="C120" s="8" t="s">
        <v>1102</v>
      </c>
      <c r="D120" s="8" t="s">
        <v>41</v>
      </c>
      <c r="E120" s="9" t="n">
        <v>50</v>
      </c>
      <c r="F120" s="8" t="s">
        <v>1103</v>
      </c>
      <c r="G120" s="9" t="n">
        <v>100</v>
      </c>
      <c r="H120" s="15"/>
      <c r="I120" s="15"/>
    </row>
    <row r="121" customFormat="false" ht="23.85" hidden="false" customHeight="false" outlineLevel="0" collapsed="false">
      <c r="A121" s="8" t="s">
        <v>13</v>
      </c>
      <c r="B121" s="8" t="s">
        <v>710</v>
      </c>
      <c r="C121" s="8" t="s">
        <v>1104</v>
      </c>
      <c r="D121" s="8" t="s">
        <v>61</v>
      </c>
      <c r="E121" s="9" t="n">
        <v>45</v>
      </c>
      <c r="F121" s="8" t="s">
        <v>1105</v>
      </c>
      <c r="G121" s="9" t="n">
        <v>90</v>
      </c>
      <c r="H121" s="15"/>
      <c r="I121" s="15"/>
    </row>
    <row r="122" customFormat="false" ht="35.05" hidden="false" customHeight="false" outlineLevel="0" collapsed="false">
      <c r="A122" s="8" t="s">
        <v>13</v>
      </c>
      <c r="B122" s="8" t="s">
        <v>710</v>
      </c>
      <c r="C122" s="8" t="s">
        <v>1106</v>
      </c>
      <c r="D122" s="8" t="s">
        <v>712</v>
      </c>
      <c r="E122" s="9" t="n">
        <v>11523</v>
      </c>
      <c r="F122" s="8" t="s">
        <v>1107</v>
      </c>
      <c r="G122" s="9"/>
      <c r="H122" s="15"/>
      <c r="I122" s="15"/>
    </row>
    <row r="123" customFormat="false" ht="23.85" hidden="false" customHeight="false" outlineLevel="0" collapsed="false">
      <c r="A123" s="8" t="s">
        <v>13</v>
      </c>
      <c r="B123" s="8" t="s">
        <v>710</v>
      </c>
      <c r="C123" s="8" t="s">
        <v>1108</v>
      </c>
      <c r="D123" s="8" t="s">
        <v>41</v>
      </c>
      <c r="E123" s="9" t="n">
        <v>250</v>
      </c>
      <c r="F123" s="8" t="s">
        <v>1109</v>
      </c>
      <c r="G123" s="9" t="n">
        <v>900</v>
      </c>
      <c r="H123" s="15"/>
      <c r="I123" s="15"/>
    </row>
    <row r="124" customFormat="false" ht="23.85" hidden="false" customHeight="false" outlineLevel="0" collapsed="false">
      <c r="A124" s="8" t="s">
        <v>13</v>
      </c>
      <c r="B124" s="8" t="s">
        <v>710</v>
      </c>
      <c r="C124" s="8" t="s">
        <v>1110</v>
      </c>
      <c r="D124" s="8" t="s">
        <v>41</v>
      </c>
      <c r="E124" s="9" t="n">
        <v>50</v>
      </c>
      <c r="F124" s="8" t="s">
        <v>1111</v>
      </c>
      <c r="G124" s="9"/>
      <c r="H124" s="15"/>
      <c r="I124" s="15"/>
    </row>
    <row r="125" customFormat="false" ht="35.05" hidden="false" customHeight="false" outlineLevel="0" collapsed="false">
      <c r="A125" s="8" t="s">
        <v>13</v>
      </c>
      <c r="B125" s="8" t="s">
        <v>710</v>
      </c>
      <c r="C125" s="8" t="s">
        <v>1112</v>
      </c>
      <c r="D125" s="8" t="s">
        <v>49</v>
      </c>
      <c r="E125" s="9" t="n">
        <v>240</v>
      </c>
      <c r="F125" s="8" t="s">
        <v>1113</v>
      </c>
      <c r="G125" s="9"/>
      <c r="H125" s="15"/>
      <c r="I125" s="15"/>
    </row>
    <row r="126" customFormat="false" ht="23.85" hidden="false" customHeight="false" outlineLevel="0" collapsed="false">
      <c r="A126" s="8" t="s">
        <v>13</v>
      </c>
      <c r="B126" s="8" t="s">
        <v>710</v>
      </c>
      <c r="C126" s="8" t="s">
        <v>872</v>
      </c>
      <c r="D126" s="8" t="s">
        <v>41</v>
      </c>
      <c r="E126" s="9" t="n">
        <v>180</v>
      </c>
      <c r="F126" s="8" t="s">
        <v>1114</v>
      </c>
      <c r="G126" s="9" t="n">
        <v>260</v>
      </c>
      <c r="H126" s="15"/>
      <c r="I126" s="15"/>
    </row>
    <row r="127" customFormat="false" ht="35.05" hidden="false" customHeight="false" outlineLevel="0" collapsed="false">
      <c r="A127" s="8" t="s">
        <v>13</v>
      </c>
      <c r="B127" s="8" t="s">
        <v>1115</v>
      </c>
      <c r="C127" s="8" t="s">
        <v>1116</v>
      </c>
      <c r="D127" s="8" t="s">
        <v>41</v>
      </c>
      <c r="E127" s="9" t="n">
        <v>40</v>
      </c>
      <c r="F127" s="8" t="s">
        <v>1117</v>
      </c>
      <c r="G127" s="9"/>
      <c r="H127" s="15"/>
      <c r="I127" s="15"/>
    </row>
    <row r="128" customFormat="false" ht="35.05" hidden="false" customHeight="false" outlineLevel="0" collapsed="false">
      <c r="A128" s="8" t="s">
        <v>13</v>
      </c>
      <c r="B128" s="8" t="s">
        <v>710</v>
      </c>
      <c r="C128" s="8" t="s">
        <v>903</v>
      </c>
      <c r="D128" s="8" t="s">
        <v>712</v>
      </c>
      <c r="E128" s="9" t="n">
        <v>600</v>
      </c>
      <c r="F128" s="8" t="s">
        <v>1118</v>
      </c>
      <c r="G128" s="9"/>
      <c r="H128" s="15"/>
      <c r="I128" s="15"/>
    </row>
    <row r="129" customFormat="false" ht="35.05" hidden="false" customHeight="false" outlineLevel="0" collapsed="false">
      <c r="A129" s="8" t="s">
        <v>13</v>
      </c>
      <c r="B129" s="8" t="s">
        <v>710</v>
      </c>
      <c r="C129" s="8" t="s">
        <v>1119</v>
      </c>
      <c r="D129" s="8" t="s">
        <v>49</v>
      </c>
      <c r="E129" s="9" t="n">
        <v>240</v>
      </c>
      <c r="F129" s="8" t="s">
        <v>1120</v>
      </c>
      <c r="G129" s="9" t="n">
        <v>150</v>
      </c>
      <c r="H129" s="15"/>
      <c r="I129" s="15"/>
    </row>
    <row r="130" customFormat="false" ht="23.85" hidden="false" customHeight="false" outlineLevel="0" collapsed="false">
      <c r="A130" s="8" t="s">
        <v>13</v>
      </c>
      <c r="B130" s="8" t="s">
        <v>710</v>
      </c>
      <c r="C130" s="8" t="s">
        <v>1121</v>
      </c>
      <c r="D130" s="8" t="s">
        <v>61</v>
      </c>
      <c r="E130" s="9" t="n">
        <v>2500</v>
      </c>
      <c r="F130" s="8" t="s">
        <v>1122</v>
      </c>
      <c r="G130" s="9" t="n">
        <v>3500</v>
      </c>
      <c r="H130" s="15"/>
      <c r="I130" s="15"/>
    </row>
    <row r="131" customFormat="false" ht="23.85" hidden="false" customHeight="false" outlineLevel="0" collapsed="false">
      <c r="A131" s="8" t="s">
        <v>13</v>
      </c>
      <c r="B131" s="8" t="s">
        <v>710</v>
      </c>
      <c r="C131" s="8" t="s">
        <v>1123</v>
      </c>
      <c r="D131" s="8" t="s">
        <v>61</v>
      </c>
      <c r="E131" s="9" t="n">
        <v>1000</v>
      </c>
      <c r="F131" s="8" t="s">
        <v>1124</v>
      </c>
      <c r="G131" s="9"/>
      <c r="H131" s="15"/>
      <c r="I131" s="15"/>
    </row>
  </sheetData>
  <autoFilter ref="A1:I131"/>
  <dataValidations count="1">
    <dataValidation allowBlank="true" errorStyle="stop" operator="between" showDropDown="false" showErrorMessage="false" showInputMessage="false" sqref="H2:H131" type="list">
      <formula1>"Виправити,Залишити,Видалити позицію,Уточнити"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38"/>
    <col collapsed="false" customWidth="true" hidden="false" outlineLevel="0" max="6" min="6" style="0" width="70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7" t="s">
        <v>2</v>
      </c>
      <c r="B1" s="7" t="s">
        <v>24</v>
      </c>
      <c r="C1" s="7" t="s">
        <v>1125</v>
      </c>
      <c r="D1" s="7" t="s">
        <v>26</v>
      </c>
      <c r="E1" s="7" t="s">
        <v>1126</v>
      </c>
      <c r="F1" s="7" t="s">
        <v>1127</v>
      </c>
      <c r="G1" s="7" t="s">
        <v>1128</v>
      </c>
      <c r="H1" s="7" t="s">
        <v>1129</v>
      </c>
    </row>
    <row r="2" customFormat="false" ht="23.85" hidden="false" customHeight="false" outlineLevel="0" collapsed="false">
      <c r="A2" s="8" t="s">
        <v>9</v>
      </c>
      <c r="B2" s="8" t="s">
        <v>39</v>
      </c>
      <c r="C2" s="8" t="s">
        <v>1130</v>
      </c>
      <c r="D2" s="8" t="s">
        <v>41</v>
      </c>
      <c r="E2" s="8" t="s">
        <v>1131</v>
      </c>
      <c r="F2" s="8" t="s">
        <v>1132</v>
      </c>
      <c r="G2" s="15"/>
      <c r="H2" s="16"/>
    </row>
    <row r="3" customFormat="false" ht="15" hidden="false" customHeight="false" outlineLevel="0" collapsed="false">
      <c r="A3" s="8" t="s">
        <v>9</v>
      </c>
      <c r="B3" s="8" t="s">
        <v>39</v>
      </c>
      <c r="C3" s="8" t="s">
        <v>1133</v>
      </c>
      <c r="D3" s="8" t="s">
        <v>61</v>
      </c>
      <c r="E3" s="8" t="s">
        <v>1134</v>
      </c>
      <c r="F3" s="8" t="s">
        <v>1135</v>
      </c>
      <c r="G3" s="15"/>
      <c r="H3" s="16"/>
    </row>
    <row r="4" customFormat="false" ht="68.65" hidden="false" customHeight="false" outlineLevel="0" collapsed="false">
      <c r="A4" s="8" t="s">
        <v>9</v>
      </c>
      <c r="B4" s="8" t="s">
        <v>59</v>
      </c>
      <c r="C4" s="8" t="s">
        <v>1136</v>
      </c>
      <c r="D4" s="8" t="s">
        <v>41</v>
      </c>
      <c r="E4" s="8" t="s">
        <v>1137</v>
      </c>
      <c r="F4" s="8" t="s">
        <v>1138</v>
      </c>
      <c r="G4" s="15"/>
      <c r="H4" s="16"/>
    </row>
    <row r="5" customFormat="false" ht="46.25" hidden="false" customHeight="false" outlineLevel="0" collapsed="false">
      <c r="A5" s="8" t="s">
        <v>9</v>
      </c>
      <c r="B5" s="8" t="s">
        <v>59</v>
      </c>
      <c r="C5" s="8" t="s">
        <v>1139</v>
      </c>
      <c r="D5" s="8" t="s">
        <v>49</v>
      </c>
      <c r="E5" s="8" t="s">
        <v>1140</v>
      </c>
      <c r="F5" s="8" t="s">
        <v>1141</v>
      </c>
      <c r="G5" s="15"/>
      <c r="H5" s="16"/>
    </row>
    <row r="6" customFormat="false" ht="23.85" hidden="false" customHeight="false" outlineLevel="0" collapsed="false">
      <c r="A6" s="8" t="s">
        <v>9</v>
      </c>
      <c r="B6" s="8" t="s">
        <v>39</v>
      </c>
      <c r="C6" s="8" t="s">
        <v>1142</v>
      </c>
      <c r="D6" s="8" t="s">
        <v>41</v>
      </c>
      <c r="E6" s="8" t="s">
        <v>1143</v>
      </c>
      <c r="F6" s="8" t="s">
        <v>1144</v>
      </c>
      <c r="G6" s="15"/>
      <c r="H6" s="16"/>
    </row>
    <row r="7" customFormat="false" ht="23.85" hidden="false" customHeight="false" outlineLevel="0" collapsed="false">
      <c r="A7" s="8" t="s">
        <v>9</v>
      </c>
      <c r="B7" s="8" t="s">
        <v>39</v>
      </c>
      <c r="C7" s="8" t="s">
        <v>1145</v>
      </c>
      <c r="D7" s="8" t="s">
        <v>41</v>
      </c>
      <c r="E7" s="8" t="s">
        <v>1146</v>
      </c>
      <c r="F7" s="8" t="s">
        <v>1147</v>
      </c>
      <c r="G7" s="15"/>
      <c r="H7" s="16"/>
    </row>
    <row r="8" customFormat="false" ht="15" hidden="false" customHeight="false" outlineLevel="0" collapsed="false">
      <c r="A8" s="8" t="s">
        <v>9</v>
      </c>
      <c r="B8" s="8" t="s">
        <v>39</v>
      </c>
      <c r="C8" s="8" t="s">
        <v>1148</v>
      </c>
      <c r="D8" s="8" t="s">
        <v>41</v>
      </c>
      <c r="E8" s="8" t="s">
        <v>1149</v>
      </c>
      <c r="F8" s="8" t="s">
        <v>1150</v>
      </c>
      <c r="G8" s="15"/>
      <c r="H8" s="16"/>
    </row>
    <row r="9" customFormat="false" ht="15" hidden="false" customHeight="false" outlineLevel="0" collapsed="false">
      <c r="A9" s="8" t="s">
        <v>9</v>
      </c>
      <c r="B9" s="8" t="s">
        <v>59</v>
      </c>
      <c r="C9" s="8" t="s">
        <v>1151</v>
      </c>
      <c r="D9" s="8" t="s">
        <v>49</v>
      </c>
      <c r="E9" s="8" t="s">
        <v>1152</v>
      </c>
      <c r="F9" s="8" t="s">
        <v>1150</v>
      </c>
      <c r="G9" s="15"/>
      <c r="H9" s="16"/>
    </row>
    <row r="10" customFormat="false" ht="23.85" hidden="false" customHeight="false" outlineLevel="0" collapsed="false">
      <c r="A10" s="8" t="s">
        <v>9</v>
      </c>
      <c r="B10" s="8" t="s">
        <v>39</v>
      </c>
      <c r="C10" s="8" t="s">
        <v>1153</v>
      </c>
      <c r="D10" s="8" t="s">
        <v>41</v>
      </c>
      <c r="E10" s="8" t="s">
        <v>1154</v>
      </c>
      <c r="F10" s="8" t="s">
        <v>1155</v>
      </c>
      <c r="G10" s="15"/>
      <c r="H10" s="16"/>
    </row>
    <row r="11" customFormat="false" ht="23.85" hidden="false" customHeight="false" outlineLevel="0" collapsed="false">
      <c r="A11" s="8" t="s">
        <v>9</v>
      </c>
      <c r="B11" s="8" t="s">
        <v>39</v>
      </c>
      <c r="C11" s="8" t="s">
        <v>1156</v>
      </c>
      <c r="D11" s="8" t="s">
        <v>41</v>
      </c>
      <c r="E11" s="8" t="s">
        <v>1157</v>
      </c>
      <c r="F11" s="8" t="s">
        <v>1155</v>
      </c>
      <c r="G11" s="15"/>
      <c r="H11" s="16"/>
    </row>
    <row r="12" customFormat="false" ht="23.85" hidden="false" customHeight="false" outlineLevel="0" collapsed="false">
      <c r="A12" s="8" t="s">
        <v>9</v>
      </c>
      <c r="B12" s="8" t="s">
        <v>39</v>
      </c>
      <c r="C12" s="8" t="s">
        <v>1158</v>
      </c>
      <c r="D12" s="8" t="s">
        <v>41</v>
      </c>
      <c r="E12" s="8" t="s">
        <v>1159</v>
      </c>
      <c r="F12" s="8" t="s">
        <v>1160</v>
      </c>
      <c r="G12" s="15"/>
      <c r="H12" s="16"/>
    </row>
    <row r="13" customFormat="false" ht="15" hidden="false" customHeight="false" outlineLevel="0" collapsed="false">
      <c r="A13" s="8" t="s">
        <v>9</v>
      </c>
      <c r="B13" s="8" t="s">
        <v>39</v>
      </c>
      <c r="C13" s="8" t="s">
        <v>1161</v>
      </c>
      <c r="D13" s="8" t="s">
        <v>49</v>
      </c>
      <c r="E13" s="8" t="s">
        <v>1162</v>
      </c>
      <c r="F13" s="8" t="s">
        <v>1135</v>
      </c>
      <c r="G13" s="15"/>
      <c r="H13" s="16"/>
    </row>
    <row r="14" customFormat="false" ht="15" hidden="false" customHeight="false" outlineLevel="0" collapsed="false">
      <c r="A14" s="8" t="s">
        <v>9</v>
      </c>
      <c r="B14" s="8" t="s">
        <v>39</v>
      </c>
      <c r="C14" s="8" t="s">
        <v>1163</v>
      </c>
      <c r="D14" s="8" t="s">
        <v>41</v>
      </c>
      <c r="E14" s="8" t="s">
        <v>1164</v>
      </c>
      <c r="F14" s="8" t="s">
        <v>1165</v>
      </c>
      <c r="G14" s="15"/>
      <c r="H14" s="16"/>
    </row>
    <row r="15" customFormat="false" ht="23.85" hidden="false" customHeight="false" outlineLevel="0" collapsed="false">
      <c r="A15" s="8" t="s">
        <v>9</v>
      </c>
      <c r="B15" s="8" t="s">
        <v>39</v>
      </c>
      <c r="C15" s="8" t="s">
        <v>1166</v>
      </c>
      <c r="D15" s="8" t="s">
        <v>49</v>
      </c>
      <c r="E15" s="8" t="s">
        <v>1167</v>
      </c>
      <c r="F15" s="8" t="s">
        <v>1168</v>
      </c>
      <c r="G15" s="15"/>
      <c r="H15" s="16"/>
    </row>
    <row r="16" customFormat="false" ht="46.25" hidden="false" customHeight="false" outlineLevel="0" collapsed="false">
      <c r="A16" s="8" t="s">
        <v>9</v>
      </c>
      <c r="B16" s="8" t="s">
        <v>59</v>
      </c>
      <c r="C16" s="8" t="s">
        <v>1169</v>
      </c>
      <c r="D16" s="8" t="s">
        <v>897</v>
      </c>
      <c r="E16" s="8" t="s">
        <v>1170</v>
      </c>
      <c r="F16" s="8" t="s">
        <v>1171</v>
      </c>
      <c r="G16" s="15"/>
      <c r="H16" s="16"/>
    </row>
    <row r="17" customFormat="false" ht="35.05" hidden="false" customHeight="false" outlineLevel="0" collapsed="false">
      <c r="A17" s="8" t="s">
        <v>10</v>
      </c>
      <c r="B17" s="8" t="s">
        <v>238</v>
      </c>
      <c r="C17" s="8" t="s">
        <v>1172</v>
      </c>
      <c r="D17" s="8" t="s">
        <v>41</v>
      </c>
      <c r="E17" s="8" t="s">
        <v>1173</v>
      </c>
      <c r="F17" s="8" t="s">
        <v>1174</v>
      </c>
      <c r="G17" s="15"/>
      <c r="H17" s="16"/>
    </row>
    <row r="18" customFormat="false" ht="23.85" hidden="false" customHeight="false" outlineLevel="0" collapsed="false">
      <c r="A18" s="8" t="s">
        <v>10</v>
      </c>
      <c r="B18" s="8" t="s">
        <v>238</v>
      </c>
      <c r="C18" s="8" t="s">
        <v>1175</v>
      </c>
      <c r="D18" s="8" t="s">
        <v>41</v>
      </c>
      <c r="E18" s="8" t="s">
        <v>1176</v>
      </c>
      <c r="F18" s="8" t="s">
        <v>1177</v>
      </c>
      <c r="G18" s="15"/>
      <c r="H18" s="16"/>
    </row>
    <row r="19" customFormat="false" ht="23.85" hidden="false" customHeight="false" outlineLevel="0" collapsed="false">
      <c r="A19" s="8" t="s">
        <v>10</v>
      </c>
      <c r="B19" s="8" t="s">
        <v>238</v>
      </c>
      <c r="C19" s="8" t="s">
        <v>1178</v>
      </c>
      <c r="D19" s="8" t="s">
        <v>41</v>
      </c>
      <c r="E19" s="8" t="s">
        <v>1179</v>
      </c>
      <c r="F19" s="8" t="s">
        <v>1180</v>
      </c>
      <c r="G19" s="15"/>
      <c r="H19" s="16"/>
    </row>
    <row r="20" customFormat="false" ht="23.85" hidden="false" customHeight="false" outlineLevel="0" collapsed="false">
      <c r="A20" s="8" t="s">
        <v>10</v>
      </c>
      <c r="B20" s="8" t="s">
        <v>238</v>
      </c>
      <c r="C20" s="8" t="s">
        <v>1181</v>
      </c>
      <c r="D20" s="8" t="s">
        <v>41</v>
      </c>
      <c r="E20" s="8" t="s">
        <v>1182</v>
      </c>
      <c r="F20" s="8" t="s">
        <v>1180</v>
      </c>
      <c r="G20" s="15"/>
      <c r="H20" s="16"/>
    </row>
    <row r="21" customFormat="false" ht="23.85" hidden="false" customHeight="false" outlineLevel="0" collapsed="false">
      <c r="A21" s="8" t="s">
        <v>10</v>
      </c>
      <c r="B21" s="8" t="s">
        <v>238</v>
      </c>
      <c r="C21" s="8" t="s">
        <v>1183</v>
      </c>
      <c r="D21" s="8" t="s">
        <v>41</v>
      </c>
      <c r="E21" s="8" t="s">
        <v>1184</v>
      </c>
      <c r="F21" s="8" t="s">
        <v>1180</v>
      </c>
      <c r="G21" s="15"/>
      <c r="H21" s="16"/>
    </row>
    <row r="22" customFormat="false" ht="23.85" hidden="false" customHeight="false" outlineLevel="0" collapsed="false">
      <c r="A22" s="8" t="s">
        <v>10</v>
      </c>
      <c r="B22" s="8" t="s">
        <v>238</v>
      </c>
      <c r="C22" s="8" t="s">
        <v>1185</v>
      </c>
      <c r="D22" s="8" t="s">
        <v>41</v>
      </c>
      <c r="E22" s="8" t="s">
        <v>1186</v>
      </c>
      <c r="F22" s="8" t="s">
        <v>1187</v>
      </c>
      <c r="G22" s="15"/>
      <c r="H22" s="16"/>
    </row>
    <row r="23" customFormat="false" ht="23.85" hidden="false" customHeight="false" outlineLevel="0" collapsed="false">
      <c r="A23" s="8" t="s">
        <v>10</v>
      </c>
      <c r="B23" s="8" t="s">
        <v>238</v>
      </c>
      <c r="C23" s="8" t="s">
        <v>1188</v>
      </c>
      <c r="D23" s="8" t="s">
        <v>41</v>
      </c>
      <c r="E23" s="8" t="s">
        <v>1189</v>
      </c>
      <c r="F23" s="8" t="s">
        <v>1190</v>
      </c>
      <c r="G23" s="15"/>
      <c r="H23" s="16"/>
    </row>
    <row r="24" customFormat="false" ht="23.85" hidden="false" customHeight="false" outlineLevel="0" collapsed="false">
      <c r="A24" s="8" t="s">
        <v>10</v>
      </c>
      <c r="B24" s="8" t="s">
        <v>238</v>
      </c>
      <c r="C24" s="8" t="s">
        <v>1191</v>
      </c>
      <c r="D24" s="8" t="s">
        <v>49</v>
      </c>
      <c r="E24" s="8" t="s">
        <v>1192</v>
      </c>
      <c r="F24" s="8" t="s">
        <v>1193</v>
      </c>
      <c r="G24" s="15"/>
      <c r="H24" s="16"/>
    </row>
    <row r="25" customFormat="false" ht="23.85" hidden="false" customHeight="false" outlineLevel="0" collapsed="false">
      <c r="A25" s="8" t="s">
        <v>10</v>
      </c>
      <c r="B25" s="8" t="s">
        <v>238</v>
      </c>
      <c r="C25" s="8" t="s">
        <v>1194</v>
      </c>
      <c r="D25" s="8" t="s">
        <v>41</v>
      </c>
      <c r="E25" s="8" t="s">
        <v>1195</v>
      </c>
      <c r="F25" s="8" t="s">
        <v>1196</v>
      </c>
      <c r="G25" s="15"/>
      <c r="H25" s="16"/>
    </row>
    <row r="26" customFormat="false" ht="23.85" hidden="false" customHeight="false" outlineLevel="0" collapsed="false">
      <c r="A26" s="8" t="s">
        <v>10</v>
      </c>
      <c r="B26" s="8" t="s">
        <v>238</v>
      </c>
      <c r="C26" s="8" t="s">
        <v>1197</v>
      </c>
      <c r="D26" s="8" t="s">
        <v>41</v>
      </c>
      <c r="E26" s="8" t="s">
        <v>1198</v>
      </c>
      <c r="F26" s="8" t="s">
        <v>1150</v>
      </c>
      <c r="G26" s="15"/>
      <c r="H26" s="16"/>
    </row>
    <row r="27" customFormat="false" ht="35.05" hidden="false" customHeight="false" outlineLevel="0" collapsed="false">
      <c r="A27" s="8" t="s">
        <v>10</v>
      </c>
      <c r="B27" s="8" t="s">
        <v>219</v>
      </c>
      <c r="C27" s="8" t="s">
        <v>1199</v>
      </c>
      <c r="D27" s="8" t="s">
        <v>49</v>
      </c>
      <c r="E27" s="8" t="s">
        <v>1200</v>
      </c>
      <c r="F27" s="8" t="s">
        <v>1201</v>
      </c>
      <c r="G27" s="15"/>
      <c r="H27" s="16"/>
    </row>
    <row r="28" customFormat="false" ht="23.85" hidden="false" customHeight="false" outlineLevel="0" collapsed="false">
      <c r="A28" s="8" t="s">
        <v>10</v>
      </c>
      <c r="B28" s="8" t="s">
        <v>219</v>
      </c>
      <c r="C28" s="8" t="s">
        <v>1202</v>
      </c>
      <c r="D28" s="8" t="s">
        <v>41</v>
      </c>
      <c r="E28" s="8" t="s">
        <v>1203</v>
      </c>
      <c r="F28" s="8" t="s">
        <v>1204</v>
      </c>
      <c r="G28" s="15"/>
      <c r="H28" s="16"/>
    </row>
    <row r="29" customFormat="false" ht="46.25" hidden="false" customHeight="false" outlineLevel="0" collapsed="false">
      <c r="A29" s="8" t="s">
        <v>11</v>
      </c>
      <c r="B29" s="8" t="s">
        <v>11</v>
      </c>
      <c r="C29" s="8" t="s">
        <v>1205</v>
      </c>
      <c r="D29" s="8" t="s">
        <v>61</v>
      </c>
      <c r="E29" s="8" t="s">
        <v>1206</v>
      </c>
      <c r="F29" s="8" t="s">
        <v>1207</v>
      </c>
      <c r="G29" s="15"/>
      <c r="H29" s="16"/>
    </row>
    <row r="30" customFormat="false" ht="23.85" hidden="false" customHeight="false" outlineLevel="0" collapsed="false">
      <c r="A30" s="8" t="s">
        <v>11</v>
      </c>
      <c r="B30" s="8" t="s">
        <v>11</v>
      </c>
      <c r="C30" s="8" t="s">
        <v>1208</v>
      </c>
      <c r="D30" s="8" t="s">
        <v>61</v>
      </c>
      <c r="E30" s="8" t="s">
        <v>1209</v>
      </c>
      <c r="F30" s="8" t="s">
        <v>1210</v>
      </c>
      <c r="G30" s="15"/>
      <c r="H30" s="16"/>
    </row>
    <row r="31" customFormat="false" ht="35.05" hidden="false" customHeight="false" outlineLevel="0" collapsed="false">
      <c r="A31" s="8" t="s">
        <v>11</v>
      </c>
      <c r="B31" s="8" t="s">
        <v>11</v>
      </c>
      <c r="C31" s="8" t="s">
        <v>1211</v>
      </c>
      <c r="D31" s="8" t="s">
        <v>61</v>
      </c>
      <c r="E31" s="8" t="s">
        <v>1212</v>
      </c>
      <c r="F31" s="8" t="s">
        <v>1213</v>
      </c>
      <c r="G31" s="15"/>
      <c r="H31" s="16"/>
    </row>
    <row r="32" customFormat="false" ht="46.25" hidden="false" customHeight="false" outlineLevel="0" collapsed="false">
      <c r="A32" s="8" t="s">
        <v>11</v>
      </c>
      <c r="B32" s="8" t="s">
        <v>11</v>
      </c>
      <c r="C32" s="8" t="s">
        <v>1214</v>
      </c>
      <c r="D32" s="8" t="s">
        <v>41</v>
      </c>
      <c r="E32" s="8" t="s">
        <v>1215</v>
      </c>
      <c r="F32" s="8" t="s">
        <v>1216</v>
      </c>
      <c r="G32" s="15"/>
      <c r="H32" s="16"/>
    </row>
    <row r="33" customFormat="false" ht="15" hidden="false" customHeight="false" outlineLevel="0" collapsed="false">
      <c r="A33" s="8" t="s">
        <v>11</v>
      </c>
      <c r="B33" s="8" t="s">
        <v>11</v>
      </c>
      <c r="C33" s="8" t="s">
        <v>1217</v>
      </c>
      <c r="D33" s="8" t="s">
        <v>61</v>
      </c>
      <c r="E33" s="8" t="s">
        <v>1218</v>
      </c>
      <c r="F33" s="8" t="s">
        <v>1219</v>
      </c>
      <c r="G33" s="15"/>
      <c r="H33" s="16"/>
    </row>
    <row r="34" customFormat="false" ht="46.25" hidden="false" customHeight="false" outlineLevel="0" collapsed="false">
      <c r="A34" s="8" t="s">
        <v>11</v>
      </c>
      <c r="B34" s="8" t="s">
        <v>11</v>
      </c>
      <c r="C34" s="8" t="s">
        <v>1220</v>
      </c>
      <c r="D34" s="8" t="s">
        <v>61</v>
      </c>
      <c r="E34" s="8" t="s">
        <v>1221</v>
      </c>
      <c r="F34" s="8" t="s">
        <v>1222</v>
      </c>
      <c r="G34" s="15"/>
      <c r="H34" s="16"/>
    </row>
    <row r="35" customFormat="false" ht="23.85" hidden="false" customHeight="false" outlineLevel="0" collapsed="false">
      <c r="A35" s="8" t="s">
        <v>11</v>
      </c>
      <c r="B35" s="8" t="s">
        <v>11</v>
      </c>
      <c r="C35" s="8" t="s">
        <v>1223</v>
      </c>
      <c r="D35" s="8" t="s">
        <v>61</v>
      </c>
      <c r="E35" s="8" t="s">
        <v>1224</v>
      </c>
      <c r="F35" s="8" t="s">
        <v>1225</v>
      </c>
      <c r="G35" s="15"/>
      <c r="H35" s="16"/>
    </row>
    <row r="36" customFormat="false" ht="46.25" hidden="false" customHeight="false" outlineLevel="0" collapsed="false">
      <c r="A36" s="8" t="s">
        <v>11</v>
      </c>
      <c r="B36" s="8" t="s">
        <v>11</v>
      </c>
      <c r="C36" s="8" t="s">
        <v>1226</v>
      </c>
      <c r="D36" s="8" t="s">
        <v>61</v>
      </c>
      <c r="E36" s="8" t="s">
        <v>1227</v>
      </c>
      <c r="F36" s="8" t="s">
        <v>1228</v>
      </c>
      <c r="G36" s="15"/>
      <c r="H36" s="16"/>
    </row>
    <row r="37" customFormat="false" ht="23.85" hidden="false" customHeight="false" outlineLevel="0" collapsed="false">
      <c r="A37" s="8" t="s">
        <v>11</v>
      </c>
      <c r="B37" s="8" t="s">
        <v>11</v>
      </c>
      <c r="C37" s="8" t="s">
        <v>1229</v>
      </c>
      <c r="D37" s="8" t="s">
        <v>61</v>
      </c>
      <c r="E37" s="8" t="s">
        <v>1230</v>
      </c>
      <c r="F37" s="8" t="s">
        <v>1231</v>
      </c>
      <c r="G37" s="15"/>
      <c r="H37" s="16"/>
    </row>
    <row r="38" customFormat="false" ht="23.85" hidden="false" customHeight="false" outlineLevel="0" collapsed="false">
      <c r="A38" s="8" t="s">
        <v>11</v>
      </c>
      <c r="B38" s="8" t="s">
        <v>11</v>
      </c>
      <c r="C38" s="8" t="s">
        <v>1232</v>
      </c>
      <c r="D38" s="8" t="s">
        <v>61</v>
      </c>
      <c r="E38" s="8" t="s">
        <v>1233</v>
      </c>
      <c r="F38" s="8" t="s">
        <v>1210</v>
      </c>
      <c r="G38" s="15"/>
      <c r="H38" s="16"/>
    </row>
    <row r="39" customFormat="false" ht="35.05" hidden="false" customHeight="false" outlineLevel="0" collapsed="false">
      <c r="A39" s="8" t="s">
        <v>11</v>
      </c>
      <c r="B39" s="8" t="s">
        <v>11</v>
      </c>
      <c r="C39" s="8" t="s">
        <v>1234</v>
      </c>
      <c r="D39" s="8" t="s">
        <v>61</v>
      </c>
      <c r="E39" s="8" t="s">
        <v>1235</v>
      </c>
      <c r="F39" s="8" t="s">
        <v>1236</v>
      </c>
      <c r="G39" s="15"/>
      <c r="H39" s="16"/>
    </row>
    <row r="40" customFormat="false" ht="35.05" hidden="false" customHeight="false" outlineLevel="0" collapsed="false">
      <c r="A40" s="8" t="s">
        <v>11</v>
      </c>
      <c r="B40" s="8" t="s">
        <v>11</v>
      </c>
      <c r="C40" s="8" t="s">
        <v>1237</v>
      </c>
      <c r="D40" s="8" t="s">
        <v>791</v>
      </c>
      <c r="E40" s="8" t="s">
        <v>1238</v>
      </c>
      <c r="F40" s="8" t="s">
        <v>1239</v>
      </c>
      <c r="G40" s="15"/>
      <c r="H40" s="16"/>
    </row>
    <row r="41" customFormat="false" ht="35.05" hidden="false" customHeight="false" outlineLevel="0" collapsed="false">
      <c r="A41" s="8" t="s">
        <v>12</v>
      </c>
      <c r="B41" s="8" t="s">
        <v>12</v>
      </c>
      <c r="C41" s="8" t="s">
        <v>1240</v>
      </c>
      <c r="D41" s="8" t="s">
        <v>61</v>
      </c>
      <c r="E41" s="8" t="s">
        <v>1241</v>
      </c>
      <c r="F41" s="8" t="s">
        <v>1242</v>
      </c>
      <c r="G41" s="15"/>
      <c r="H41" s="16"/>
    </row>
    <row r="42" customFormat="false" ht="35.05" hidden="false" customHeight="false" outlineLevel="0" collapsed="false">
      <c r="A42" s="8" t="s">
        <v>12</v>
      </c>
      <c r="B42" s="8" t="s">
        <v>12</v>
      </c>
      <c r="C42" s="8" t="s">
        <v>1243</v>
      </c>
      <c r="D42" s="8" t="s">
        <v>61</v>
      </c>
      <c r="E42" s="8" t="s">
        <v>1244</v>
      </c>
      <c r="F42" s="8" t="s">
        <v>1242</v>
      </c>
      <c r="G42" s="15"/>
      <c r="H42" s="16"/>
    </row>
    <row r="43" customFormat="false" ht="35.05" hidden="false" customHeight="false" outlineLevel="0" collapsed="false">
      <c r="A43" s="8" t="s">
        <v>12</v>
      </c>
      <c r="B43" s="8" t="s">
        <v>12</v>
      </c>
      <c r="C43" s="8" t="s">
        <v>1245</v>
      </c>
      <c r="D43" s="8" t="s">
        <v>61</v>
      </c>
      <c r="E43" s="8" t="s">
        <v>1246</v>
      </c>
      <c r="F43" s="8" t="s">
        <v>1247</v>
      </c>
      <c r="G43" s="15"/>
      <c r="H43" s="16"/>
    </row>
    <row r="44" customFormat="false" ht="35.05" hidden="false" customHeight="false" outlineLevel="0" collapsed="false">
      <c r="A44" s="8" t="s">
        <v>12</v>
      </c>
      <c r="B44" s="8" t="s">
        <v>12</v>
      </c>
      <c r="C44" s="8" t="s">
        <v>1248</v>
      </c>
      <c r="D44" s="8" t="s">
        <v>61</v>
      </c>
      <c r="E44" s="8" t="s">
        <v>1249</v>
      </c>
      <c r="F44" s="8" t="s">
        <v>1247</v>
      </c>
      <c r="G44" s="15"/>
      <c r="H44" s="16"/>
    </row>
    <row r="45" customFormat="false" ht="23.85" hidden="false" customHeight="false" outlineLevel="0" collapsed="false">
      <c r="A45" s="8" t="s">
        <v>12</v>
      </c>
      <c r="B45" s="8" t="s">
        <v>12</v>
      </c>
      <c r="C45" s="8" t="s">
        <v>1250</v>
      </c>
      <c r="D45" s="8" t="s">
        <v>61</v>
      </c>
      <c r="E45" s="8" t="s">
        <v>1251</v>
      </c>
      <c r="F45" s="8" t="s">
        <v>1252</v>
      </c>
      <c r="G45" s="15"/>
      <c r="H45" s="16"/>
    </row>
    <row r="46" customFormat="false" ht="23.85" hidden="false" customHeight="false" outlineLevel="0" collapsed="false">
      <c r="A46" s="8" t="s">
        <v>12</v>
      </c>
      <c r="B46" s="8" t="s">
        <v>12</v>
      </c>
      <c r="C46" s="8" t="s">
        <v>1253</v>
      </c>
      <c r="D46" s="8" t="s">
        <v>61</v>
      </c>
      <c r="E46" s="8" t="s">
        <v>1254</v>
      </c>
      <c r="F46" s="8" t="s">
        <v>1255</v>
      </c>
      <c r="G46" s="15"/>
      <c r="H46" s="16"/>
    </row>
    <row r="47" customFormat="false" ht="35.05" hidden="false" customHeight="false" outlineLevel="0" collapsed="false">
      <c r="A47" s="8" t="s">
        <v>12</v>
      </c>
      <c r="B47" s="8" t="s">
        <v>12</v>
      </c>
      <c r="C47" s="8" t="s">
        <v>1256</v>
      </c>
      <c r="D47" s="8" t="s">
        <v>49</v>
      </c>
      <c r="E47" s="8" t="s">
        <v>1257</v>
      </c>
      <c r="F47" s="8" t="s">
        <v>1258</v>
      </c>
      <c r="G47" s="15"/>
      <c r="H47" s="16"/>
    </row>
    <row r="48" customFormat="false" ht="35.05" hidden="false" customHeight="false" outlineLevel="0" collapsed="false">
      <c r="A48" s="8" t="s">
        <v>12</v>
      </c>
      <c r="B48" s="8" t="s">
        <v>12</v>
      </c>
      <c r="C48" s="8" t="s">
        <v>1259</v>
      </c>
      <c r="D48" s="8" t="s">
        <v>61</v>
      </c>
      <c r="E48" s="8" t="s">
        <v>1260</v>
      </c>
      <c r="F48" s="8" t="s">
        <v>1261</v>
      </c>
      <c r="G48" s="15"/>
      <c r="H48" s="16"/>
    </row>
    <row r="49" customFormat="false" ht="23.85" hidden="false" customHeight="false" outlineLevel="0" collapsed="false">
      <c r="A49" s="8" t="s">
        <v>12</v>
      </c>
      <c r="B49" s="8" t="s">
        <v>12</v>
      </c>
      <c r="C49" s="8" t="s">
        <v>1262</v>
      </c>
      <c r="D49" s="8" t="s">
        <v>61</v>
      </c>
      <c r="E49" s="8" t="s">
        <v>1263</v>
      </c>
      <c r="F49" s="8" t="s">
        <v>1264</v>
      </c>
      <c r="G49" s="15"/>
      <c r="H49" s="16"/>
    </row>
    <row r="50" customFormat="false" ht="35.05" hidden="false" customHeight="false" outlineLevel="0" collapsed="false">
      <c r="A50" s="8" t="s">
        <v>12</v>
      </c>
      <c r="B50" s="8" t="s">
        <v>12</v>
      </c>
      <c r="C50" s="8" t="s">
        <v>1265</v>
      </c>
      <c r="D50" s="8" t="s">
        <v>61</v>
      </c>
      <c r="E50" s="8" t="s">
        <v>1266</v>
      </c>
      <c r="F50" s="8" t="s">
        <v>1267</v>
      </c>
      <c r="G50" s="15"/>
      <c r="H50" s="16"/>
    </row>
    <row r="51" customFormat="false" ht="23.85" hidden="false" customHeight="false" outlineLevel="0" collapsed="false">
      <c r="A51" s="8" t="s">
        <v>12</v>
      </c>
      <c r="B51" s="8" t="s">
        <v>12</v>
      </c>
      <c r="C51" s="8" t="s">
        <v>1268</v>
      </c>
      <c r="D51" s="8" t="s">
        <v>61</v>
      </c>
      <c r="E51" s="8" t="s">
        <v>1269</v>
      </c>
      <c r="F51" s="8" t="s">
        <v>1264</v>
      </c>
      <c r="G51" s="15"/>
      <c r="H51" s="16"/>
    </row>
    <row r="52" customFormat="false" ht="23.85" hidden="false" customHeight="false" outlineLevel="0" collapsed="false">
      <c r="A52" s="8" t="s">
        <v>12</v>
      </c>
      <c r="B52" s="8" t="s">
        <v>12</v>
      </c>
      <c r="C52" s="8" t="s">
        <v>1270</v>
      </c>
      <c r="D52" s="8" t="s">
        <v>61</v>
      </c>
      <c r="E52" s="8" t="s">
        <v>1271</v>
      </c>
      <c r="F52" s="8" t="s">
        <v>1264</v>
      </c>
      <c r="G52" s="15"/>
      <c r="H52" s="16"/>
    </row>
    <row r="53" customFormat="false" ht="23.85" hidden="false" customHeight="false" outlineLevel="0" collapsed="false">
      <c r="A53" s="8" t="s">
        <v>13</v>
      </c>
      <c r="B53" s="8" t="s">
        <v>744</v>
      </c>
      <c r="C53" s="8" t="s">
        <v>1272</v>
      </c>
      <c r="D53" s="8" t="s">
        <v>41</v>
      </c>
      <c r="E53" s="8" t="s">
        <v>1273</v>
      </c>
      <c r="F53" s="8" t="s">
        <v>1274</v>
      </c>
      <c r="G53" s="15"/>
      <c r="H53" s="16"/>
    </row>
    <row r="54" customFormat="false" ht="23.85" hidden="false" customHeight="false" outlineLevel="0" collapsed="false">
      <c r="A54" s="8" t="s">
        <v>13</v>
      </c>
      <c r="B54" s="8" t="s">
        <v>744</v>
      </c>
      <c r="C54" s="8" t="s">
        <v>1275</v>
      </c>
      <c r="D54" s="8" t="s">
        <v>41</v>
      </c>
      <c r="E54" s="8" t="s">
        <v>1276</v>
      </c>
      <c r="F54" s="8" t="s">
        <v>1277</v>
      </c>
      <c r="G54" s="15"/>
      <c r="H54" s="16"/>
    </row>
    <row r="55" customFormat="false" ht="23.85" hidden="false" customHeight="false" outlineLevel="0" collapsed="false">
      <c r="A55" s="8" t="s">
        <v>13</v>
      </c>
      <c r="B55" s="8" t="s">
        <v>744</v>
      </c>
      <c r="C55" s="8" t="s">
        <v>1278</v>
      </c>
      <c r="D55" s="8" t="s">
        <v>41</v>
      </c>
      <c r="E55" s="8" t="s">
        <v>1279</v>
      </c>
      <c r="F55" s="8" t="s">
        <v>1280</v>
      </c>
      <c r="G55" s="15"/>
      <c r="H55" s="16"/>
    </row>
    <row r="56" customFormat="false" ht="23.85" hidden="false" customHeight="false" outlineLevel="0" collapsed="false">
      <c r="A56" s="8" t="s">
        <v>13</v>
      </c>
      <c r="B56" s="8" t="s">
        <v>744</v>
      </c>
      <c r="C56" s="8" t="s">
        <v>1281</v>
      </c>
      <c r="D56" s="8" t="s">
        <v>41</v>
      </c>
      <c r="E56" s="8" t="s">
        <v>1282</v>
      </c>
      <c r="F56" s="8" t="s">
        <v>1283</v>
      </c>
      <c r="G56" s="15"/>
      <c r="H56" s="16"/>
    </row>
    <row r="57" customFormat="false" ht="23.85" hidden="false" customHeight="false" outlineLevel="0" collapsed="false">
      <c r="A57" s="8" t="s">
        <v>13</v>
      </c>
      <c r="B57" s="8" t="s">
        <v>710</v>
      </c>
      <c r="C57" s="8" t="s">
        <v>1284</v>
      </c>
      <c r="D57" s="8" t="s">
        <v>41</v>
      </c>
      <c r="E57" s="8" t="s">
        <v>1285</v>
      </c>
      <c r="F57" s="8" t="s">
        <v>1280</v>
      </c>
      <c r="G57" s="15"/>
      <c r="H57" s="16"/>
    </row>
    <row r="58" customFormat="false" ht="23.85" hidden="false" customHeight="false" outlineLevel="0" collapsed="false">
      <c r="A58" s="8" t="s">
        <v>13</v>
      </c>
      <c r="B58" s="8" t="s">
        <v>710</v>
      </c>
      <c r="C58" s="8" t="s">
        <v>1286</v>
      </c>
      <c r="D58" s="8" t="s">
        <v>41</v>
      </c>
      <c r="E58" s="8" t="s">
        <v>1287</v>
      </c>
      <c r="F58" s="8" t="s">
        <v>1274</v>
      </c>
      <c r="G58" s="15"/>
      <c r="H58" s="16"/>
    </row>
    <row r="59" customFormat="false" ht="23.85" hidden="false" customHeight="false" outlineLevel="0" collapsed="false">
      <c r="A59" s="8" t="s">
        <v>13</v>
      </c>
      <c r="B59" s="8" t="s">
        <v>710</v>
      </c>
      <c r="C59" s="8" t="s">
        <v>1288</v>
      </c>
      <c r="D59" s="8" t="s">
        <v>61</v>
      </c>
      <c r="E59" s="8" t="s">
        <v>1289</v>
      </c>
      <c r="F59" s="8" t="s">
        <v>1274</v>
      </c>
      <c r="G59" s="15"/>
      <c r="H59" s="16"/>
    </row>
    <row r="60" customFormat="false" ht="23.85" hidden="false" customHeight="false" outlineLevel="0" collapsed="false">
      <c r="A60" s="8" t="s">
        <v>13</v>
      </c>
      <c r="B60" s="8" t="s">
        <v>710</v>
      </c>
      <c r="C60" s="8" t="s">
        <v>1290</v>
      </c>
      <c r="D60" s="8" t="s">
        <v>49</v>
      </c>
      <c r="E60" s="8" t="s">
        <v>1291</v>
      </c>
      <c r="F60" s="8" t="s">
        <v>1274</v>
      </c>
      <c r="G60" s="15"/>
      <c r="H60" s="16"/>
    </row>
    <row r="61" customFormat="false" ht="23.85" hidden="false" customHeight="false" outlineLevel="0" collapsed="false">
      <c r="A61" s="8" t="s">
        <v>13</v>
      </c>
      <c r="B61" s="8" t="s">
        <v>710</v>
      </c>
      <c r="C61" s="8" t="s">
        <v>1292</v>
      </c>
      <c r="D61" s="8" t="s">
        <v>912</v>
      </c>
      <c r="E61" s="8" t="s">
        <v>1293</v>
      </c>
      <c r="F61" s="8" t="s">
        <v>1294</v>
      </c>
      <c r="G61" s="15"/>
      <c r="H61" s="16"/>
    </row>
    <row r="62" customFormat="false" ht="23.85" hidden="false" customHeight="false" outlineLevel="0" collapsed="false">
      <c r="A62" s="8" t="s">
        <v>13</v>
      </c>
      <c r="B62" s="8" t="s">
        <v>710</v>
      </c>
      <c r="C62" s="8" t="s">
        <v>1295</v>
      </c>
      <c r="D62" s="8" t="s">
        <v>41</v>
      </c>
      <c r="E62" s="8" t="s">
        <v>1296</v>
      </c>
      <c r="F62" s="8" t="s">
        <v>1297</v>
      </c>
      <c r="G62" s="15"/>
      <c r="H62" s="16"/>
    </row>
    <row r="63" customFormat="false" ht="23.85" hidden="false" customHeight="false" outlineLevel="0" collapsed="false">
      <c r="A63" s="8" t="s">
        <v>13</v>
      </c>
      <c r="B63" s="8" t="s">
        <v>710</v>
      </c>
      <c r="C63" s="8" t="s">
        <v>1298</v>
      </c>
      <c r="D63" s="8" t="s">
        <v>41</v>
      </c>
      <c r="E63" s="8" t="s">
        <v>1299</v>
      </c>
      <c r="F63" s="8" t="s">
        <v>1300</v>
      </c>
      <c r="G63" s="15"/>
      <c r="H63" s="16"/>
    </row>
    <row r="64" customFormat="false" ht="46.25" hidden="false" customHeight="false" outlineLevel="0" collapsed="false">
      <c r="A64" s="8" t="s">
        <v>13</v>
      </c>
      <c r="B64" s="8" t="s">
        <v>783</v>
      </c>
      <c r="C64" s="8" t="s">
        <v>1301</v>
      </c>
      <c r="D64" s="8" t="s">
        <v>49</v>
      </c>
      <c r="E64" s="8" t="s">
        <v>1302</v>
      </c>
      <c r="F64" s="8" t="s">
        <v>1303</v>
      </c>
      <c r="G64" s="15"/>
      <c r="H64" s="16"/>
    </row>
  </sheetData>
  <autoFilter ref="A1:H64"/>
  <dataValidations count="1">
    <dataValidation allowBlank="true" errorStyle="stop" operator="between" showDropDown="false" showErrorMessage="false" showInputMessage="false" sqref="G2:G64" type="list">
      <formula1>"Так,Ні,Пізніше"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31.5" hidden="false" customHeight="true" outlineLevel="0" collapsed="false">
      <c r="A1" s="7" t="s">
        <v>1304</v>
      </c>
      <c r="B1" s="7" t="s">
        <v>1305</v>
      </c>
      <c r="C1" s="7" t="s">
        <v>1306</v>
      </c>
      <c r="D1" s="7" t="s">
        <v>1307</v>
      </c>
      <c r="E1" s="7" t="s">
        <v>1308</v>
      </c>
      <c r="F1" s="7" t="s">
        <v>1309</v>
      </c>
    </row>
    <row r="2" customFormat="false" ht="46.25" hidden="false" customHeight="false" outlineLevel="0" collapsed="false">
      <c r="A2" s="8" t="s">
        <v>1310</v>
      </c>
      <c r="B2" s="8" t="s">
        <v>1311</v>
      </c>
      <c r="C2" s="8" t="s">
        <v>1312</v>
      </c>
      <c r="D2" s="8" t="s">
        <v>1313</v>
      </c>
      <c r="E2" s="8" t="s">
        <v>1314</v>
      </c>
      <c r="F2" s="8" t="s">
        <v>1315</v>
      </c>
    </row>
    <row r="3" customFormat="false" ht="35.05" hidden="false" customHeight="false" outlineLevel="0" collapsed="false">
      <c r="A3" s="8" t="s">
        <v>1316</v>
      </c>
      <c r="B3" s="8" t="s">
        <v>1317</v>
      </c>
      <c r="C3" s="8" t="s">
        <v>1318</v>
      </c>
      <c r="D3" s="8" t="s">
        <v>1313</v>
      </c>
      <c r="E3" s="8" t="s">
        <v>1319</v>
      </c>
      <c r="F3" s="8" t="s">
        <v>1315</v>
      </c>
    </row>
    <row r="4" customFormat="false" ht="35.05" hidden="false" customHeight="false" outlineLevel="0" collapsed="false">
      <c r="A4" s="8" t="s">
        <v>1320</v>
      </c>
      <c r="B4" s="8" t="s">
        <v>1321</v>
      </c>
      <c r="C4" s="8" t="s">
        <v>1312</v>
      </c>
      <c r="D4" s="8" t="s">
        <v>1313</v>
      </c>
      <c r="E4" s="8" t="s">
        <v>1319</v>
      </c>
      <c r="F4" s="8" t="s">
        <v>1315</v>
      </c>
    </row>
    <row r="5" customFormat="false" ht="35.05" hidden="false" customHeight="false" outlineLevel="0" collapsed="false">
      <c r="A5" s="8" t="s">
        <v>1322</v>
      </c>
      <c r="B5" s="8" t="s">
        <v>1323</v>
      </c>
      <c r="C5" s="8" t="s">
        <v>1324</v>
      </c>
      <c r="D5" s="8" t="s">
        <v>1313</v>
      </c>
      <c r="E5" s="8" t="s">
        <v>1319</v>
      </c>
      <c r="F5" s="8" t="s">
        <v>9</v>
      </c>
    </row>
    <row r="6" customFormat="false" ht="35.05" hidden="false" customHeight="false" outlineLevel="0" collapsed="false">
      <c r="A6" s="8" t="s">
        <v>1325</v>
      </c>
      <c r="B6" s="8" t="s">
        <v>1326</v>
      </c>
      <c r="C6" s="8" t="s">
        <v>1327</v>
      </c>
      <c r="D6" s="8" t="s">
        <v>1313</v>
      </c>
      <c r="E6" s="8" t="s">
        <v>1319</v>
      </c>
      <c r="F6" s="8" t="s">
        <v>11</v>
      </c>
    </row>
    <row r="7" customFormat="false" ht="23.85" hidden="false" customHeight="false" outlineLevel="0" collapsed="false">
      <c r="A7" s="8" t="s">
        <v>1328</v>
      </c>
      <c r="B7" s="8" t="s">
        <v>1329</v>
      </c>
      <c r="C7" s="8" t="s">
        <v>1324</v>
      </c>
      <c r="D7" s="8" t="s">
        <v>1313</v>
      </c>
      <c r="E7" s="8" t="s">
        <v>1319</v>
      </c>
      <c r="F7" s="8" t="s">
        <v>11</v>
      </c>
    </row>
    <row r="8" customFormat="false" ht="23.85" hidden="false" customHeight="false" outlineLevel="0" collapsed="false">
      <c r="A8" s="8" t="s">
        <v>1330</v>
      </c>
      <c r="B8" s="8" t="s">
        <v>1331</v>
      </c>
      <c r="C8" s="8" t="s">
        <v>1312</v>
      </c>
      <c r="D8" s="8" t="s">
        <v>1313</v>
      </c>
      <c r="E8" s="8" t="s">
        <v>1319</v>
      </c>
      <c r="F8" s="8" t="s">
        <v>13</v>
      </c>
    </row>
    <row r="9" customFormat="false" ht="23.85" hidden="false" customHeight="false" outlineLevel="0" collapsed="false">
      <c r="A9" s="8" t="s">
        <v>1332</v>
      </c>
      <c r="B9" s="8" t="s">
        <v>1333</v>
      </c>
      <c r="C9" s="8" t="s">
        <v>1334</v>
      </c>
      <c r="D9" s="8" t="s">
        <v>1313</v>
      </c>
      <c r="E9" s="8" t="s">
        <v>1319</v>
      </c>
      <c r="F9" s="8" t="s">
        <v>13</v>
      </c>
    </row>
    <row r="10" customFormat="false" ht="35.05" hidden="false" customHeight="false" outlineLevel="0" collapsed="false">
      <c r="A10" s="8" t="s">
        <v>1335</v>
      </c>
      <c r="B10" s="8" t="s">
        <v>1336</v>
      </c>
      <c r="C10" s="8" t="s">
        <v>1324</v>
      </c>
      <c r="D10" s="8" t="s">
        <v>1337</v>
      </c>
      <c r="E10" s="8" t="s">
        <v>1314</v>
      </c>
      <c r="F10" s="8" t="s">
        <v>1315</v>
      </c>
    </row>
    <row r="11" customFormat="false" ht="46.25" hidden="false" customHeight="false" outlineLevel="0" collapsed="false">
      <c r="A11" s="8" t="s">
        <v>1338</v>
      </c>
      <c r="B11" s="8" t="s">
        <v>1339</v>
      </c>
      <c r="C11" s="8" t="s">
        <v>1312</v>
      </c>
      <c r="D11" s="8" t="s">
        <v>1337</v>
      </c>
      <c r="E11" s="8" t="s">
        <v>1314</v>
      </c>
      <c r="F11" s="8" t="s">
        <v>1315</v>
      </c>
    </row>
    <row r="12" customFormat="false" ht="35.05" hidden="false" customHeight="false" outlineLevel="0" collapsed="false">
      <c r="A12" s="8" t="s">
        <v>1340</v>
      </c>
      <c r="B12" s="8" t="s">
        <v>1341</v>
      </c>
      <c r="C12" s="8" t="s">
        <v>1324</v>
      </c>
      <c r="D12" s="8" t="s">
        <v>1337</v>
      </c>
      <c r="E12" s="8" t="s">
        <v>1319</v>
      </c>
      <c r="F12" s="8" t="s">
        <v>1315</v>
      </c>
    </row>
    <row r="13" customFormat="false" ht="23.85" hidden="false" customHeight="false" outlineLevel="0" collapsed="false">
      <c r="A13" s="8" t="s">
        <v>1342</v>
      </c>
      <c r="B13" s="8" t="s">
        <v>1343</v>
      </c>
      <c r="C13" s="8" t="s">
        <v>1324</v>
      </c>
      <c r="D13" s="8" t="s">
        <v>1337</v>
      </c>
      <c r="E13" s="8" t="s">
        <v>1319</v>
      </c>
      <c r="F13" s="8" t="s">
        <v>1344</v>
      </c>
    </row>
    <row r="14" customFormat="false" ht="35.05" hidden="false" customHeight="false" outlineLevel="0" collapsed="false">
      <c r="A14" s="8" t="s">
        <v>1345</v>
      </c>
      <c r="B14" s="8" t="s">
        <v>1346</v>
      </c>
      <c r="C14" s="8" t="s">
        <v>1324</v>
      </c>
      <c r="D14" s="8" t="s">
        <v>1337</v>
      </c>
      <c r="E14" s="8" t="s">
        <v>1319</v>
      </c>
      <c r="F14" s="8" t="s">
        <v>1347</v>
      </c>
    </row>
    <row r="15" customFormat="false" ht="23.85" hidden="false" customHeight="false" outlineLevel="0" collapsed="false">
      <c r="A15" s="8" t="s">
        <v>1348</v>
      </c>
      <c r="B15" s="8" t="s">
        <v>1349</v>
      </c>
      <c r="C15" s="8" t="s">
        <v>1318</v>
      </c>
      <c r="D15" s="8" t="s">
        <v>1337</v>
      </c>
      <c r="E15" s="8" t="s">
        <v>1319</v>
      </c>
      <c r="F15" s="8" t="s">
        <v>1347</v>
      </c>
    </row>
    <row r="16" customFormat="false" ht="23.85" hidden="false" customHeight="false" outlineLevel="0" collapsed="false">
      <c r="A16" s="8" t="s">
        <v>1350</v>
      </c>
      <c r="B16" s="8" t="s">
        <v>1351</v>
      </c>
      <c r="C16" s="8" t="s">
        <v>1352</v>
      </c>
      <c r="D16" s="8" t="s">
        <v>1337</v>
      </c>
      <c r="E16" s="8" t="s">
        <v>1319</v>
      </c>
      <c r="F16" s="8" t="s">
        <v>9</v>
      </c>
    </row>
    <row r="17" customFormat="false" ht="23.85" hidden="false" customHeight="false" outlineLevel="0" collapsed="false">
      <c r="A17" s="8" t="s">
        <v>1353</v>
      </c>
      <c r="B17" s="8" t="s">
        <v>1354</v>
      </c>
      <c r="C17" s="8" t="s">
        <v>1355</v>
      </c>
      <c r="D17" s="8" t="s">
        <v>1337</v>
      </c>
      <c r="E17" s="8" t="s">
        <v>1319</v>
      </c>
      <c r="F17" s="8" t="s">
        <v>9</v>
      </c>
    </row>
    <row r="18" customFormat="false" ht="23.85" hidden="false" customHeight="false" outlineLevel="0" collapsed="false">
      <c r="A18" s="8" t="s">
        <v>1356</v>
      </c>
      <c r="B18" s="8" t="s">
        <v>1357</v>
      </c>
      <c r="C18" s="8" t="s">
        <v>1358</v>
      </c>
      <c r="D18" s="8" t="s">
        <v>1337</v>
      </c>
      <c r="E18" s="8" t="s">
        <v>1319</v>
      </c>
      <c r="F18" s="8" t="s">
        <v>9</v>
      </c>
    </row>
    <row r="19" customFormat="false" ht="23.85" hidden="false" customHeight="false" outlineLevel="0" collapsed="false">
      <c r="A19" s="8" t="s">
        <v>1359</v>
      </c>
      <c r="B19" s="8" t="s">
        <v>1360</v>
      </c>
      <c r="C19" s="8" t="s">
        <v>1361</v>
      </c>
      <c r="D19" s="8" t="s">
        <v>1337</v>
      </c>
      <c r="E19" s="8" t="s">
        <v>1319</v>
      </c>
      <c r="F19" s="8" t="s">
        <v>9</v>
      </c>
    </row>
    <row r="20" customFormat="false" ht="15" hidden="false" customHeight="false" outlineLevel="0" collapsed="false">
      <c r="A20" s="8" t="s">
        <v>1362</v>
      </c>
      <c r="B20" s="8" t="s">
        <v>1363</v>
      </c>
      <c r="C20" s="8" t="s">
        <v>1364</v>
      </c>
      <c r="D20" s="8" t="s">
        <v>1337</v>
      </c>
      <c r="E20" s="8" t="s">
        <v>1319</v>
      </c>
      <c r="F20" s="8" t="s">
        <v>10</v>
      </c>
    </row>
    <row r="21" customFormat="false" ht="15" hidden="false" customHeight="false" outlineLevel="0" collapsed="false">
      <c r="A21" s="8" t="s">
        <v>1365</v>
      </c>
      <c r="B21" s="8" t="s">
        <v>1366</v>
      </c>
      <c r="C21" s="8" t="s">
        <v>1367</v>
      </c>
      <c r="D21" s="8" t="s">
        <v>1337</v>
      </c>
      <c r="E21" s="8" t="s">
        <v>1319</v>
      </c>
      <c r="F21" s="8" t="s">
        <v>10</v>
      </c>
    </row>
    <row r="22" customFormat="false" ht="35.05" hidden="false" customHeight="false" outlineLevel="0" collapsed="false">
      <c r="A22" s="8" t="s">
        <v>1368</v>
      </c>
      <c r="B22" s="8" t="s">
        <v>1369</v>
      </c>
      <c r="C22" s="8" t="s">
        <v>1324</v>
      </c>
      <c r="D22" s="8" t="s">
        <v>1337</v>
      </c>
      <c r="E22" s="8" t="s">
        <v>1319</v>
      </c>
      <c r="F22" s="8" t="s">
        <v>11</v>
      </c>
    </row>
    <row r="23" customFormat="false" ht="46.25" hidden="false" customHeight="false" outlineLevel="0" collapsed="false">
      <c r="A23" s="8" t="s">
        <v>1370</v>
      </c>
      <c r="B23" s="8" t="s">
        <v>1371</v>
      </c>
      <c r="C23" s="8" t="s">
        <v>1372</v>
      </c>
      <c r="D23" s="8" t="s">
        <v>1337</v>
      </c>
      <c r="E23" s="8" t="s">
        <v>1319</v>
      </c>
      <c r="F23" s="8" t="s">
        <v>12</v>
      </c>
    </row>
    <row r="24" customFormat="false" ht="15" hidden="false" customHeight="false" outlineLevel="0" collapsed="false">
      <c r="A24" s="8" t="s">
        <v>1373</v>
      </c>
      <c r="B24" s="8" t="s">
        <v>1374</v>
      </c>
      <c r="C24" s="8" t="s">
        <v>1375</v>
      </c>
      <c r="D24" s="8" t="s">
        <v>1337</v>
      </c>
      <c r="E24" s="8" t="s">
        <v>1319</v>
      </c>
      <c r="F24" s="8" t="s">
        <v>12</v>
      </c>
    </row>
    <row r="25" customFormat="false" ht="23.85" hidden="false" customHeight="false" outlineLevel="0" collapsed="false">
      <c r="A25" s="8" t="s">
        <v>1376</v>
      </c>
      <c r="B25" s="8" t="s">
        <v>1377</v>
      </c>
      <c r="C25" s="8" t="s">
        <v>1378</v>
      </c>
      <c r="D25" s="8" t="s">
        <v>1337</v>
      </c>
      <c r="E25" s="8" t="s">
        <v>1319</v>
      </c>
      <c r="F25" s="8" t="s">
        <v>13</v>
      </c>
    </row>
    <row r="26" customFormat="false" ht="23.85" hidden="false" customHeight="false" outlineLevel="0" collapsed="false">
      <c r="A26" s="8" t="s">
        <v>1379</v>
      </c>
      <c r="B26" s="8" t="s">
        <v>1380</v>
      </c>
      <c r="C26" s="8" t="s">
        <v>1324</v>
      </c>
      <c r="D26" s="8" t="s">
        <v>1337</v>
      </c>
      <c r="E26" s="8" t="s">
        <v>1319</v>
      </c>
      <c r="F26" s="8" t="s">
        <v>13</v>
      </c>
    </row>
    <row r="27" customFormat="false" ht="35.05" hidden="false" customHeight="false" outlineLevel="0" collapsed="false">
      <c r="A27" s="8" t="s">
        <v>1381</v>
      </c>
      <c r="B27" s="8" t="s">
        <v>1382</v>
      </c>
      <c r="C27" s="8" t="s">
        <v>1324</v>
      </c>
      <c r="D27" s="8" t="s">
        <v>1383</v>
      </c>
      <c r="E27" s="8" t="s">
        <v>1319</v>
      </c>
      <c r="F27" s="8" t="s">
        <v>1384</v>
      </c>
    </row>
    <row r="28" customFormat="false" ht="23.85" hidden="false" customHeight="false" outlineLevel="0" collapsed="false">
      <c r="A28" s="8" t="s">
        <v>1385</v>
      </c>
      <c r="B28" s="8" t="s">
        <v>1386</v>
      </c>
      <c r="C28" s="8" t="s">
        <v>1334</v>
      </c>
      <c r="D28" s="8" t="s">
        <v>1383</v>
      </c>
      <c r="E28" s="8" t="s">
        <v>1319</v>
      </c>
      <c r="F28" s="8" t="s">
        <v>9</v>
      </c>
    </row>
    <row r="29" customFormat="false" ht="15" hidden="false" customHeight="false" outlineLevel="0" collapsed="false">
      <c r="A29" s="8" t="s">
        <v>1387</v>
      </c>
      <c r="B29" s="8" t="s">
        <v>1388</v>
      </c>
      <c r="C29" s="8" t="s">
        <v>1389</v>
      </c>
      <c r="D29" s="8" t="s">
        <v>1383</v>
      </c>
      <c r="E29" s="8" t="s">
        <v>1319</v>
      </c>
      <c r="F29" s="8" t="s">
        <v>10</v>
      </c>
    </row>
    <row r="30" customFormat="false" ht="23.85" hidden="false" customHeight="false" outlineLevel="0" collapsed="false">
      <c r="A30" s="8" t="s">
        <v>1390</v>
      </c>
      <c r="B30" s="8" t="s">
        <v>1391</v>
      </c>
      <c r="C30" s="8" t="s">
        <v>1358</v>
      </c>
      <c r="D30" s="8" t="s">
        <v>1383</v>
      </c>
      <c r="E30" s="8" t="s">
        <v>1319</v>
      </c>
      <c r="F30" s="8" t="s">
        <v>11</v>
      </c>
    </row>
    <row r="31" customFormat="false" ht="23.85" hidden="false" customHeight="false" outlineLevel="0" collapsed="false">
      <c r="A31" s="8" t="s">
        <v>1392</v>
      </c>
      <c r="B31" s="8" t="s">
        <v>1393</v>
      </c>
      <c r="C31" s="8" t="s">
        <v>1394</v>
      </c>
      <c r="D31" s="8" t="s">
        <v>1383</v>
      </c>
      <c r="E31" s="8" t="s">
        <v>1319</v>
      </c>
      <c r="F31" s="8" t="s">
        <v>11</v>
      </c>
    </row>
    <row r="32" customFormat="false" ht="23.85" hidden="false" customHeight="false" outlineLevel="0" collapsed="false">
      <c r="A32" s="8" t="s">
        <v>1395</v>
      </c>
      <c r="B32" s="8" t="s">
        <v>1396</v>
      </c>
      <c r="C32" s="8" t="s">
        <v>1397</v>
      </c>
      <c r="D32" s="8" t="s">
        <v>1383</v>
      </c>
      <c r="E32" s="8" t="s">
        <v>1319</v>
      </c>
      <c r="F32" s="8" t="s">
        <v>12</v>
      </c>
    </row>
    <row r="33" customFormat="false" ht="23.85" hidden="false" customHeight="false" outlineLevel="0" collapsed="false">
      <c r="A33" s="8" t="s">
        <v>1398</v>
      </c>
      <c r="B33" s="8" t="s">
        <v>1399</v>
      </c>
      <c r="C33" s="8" t="s">
        <v>1358</v>
      </c>
      <c r="D33" s="8" t="s">
        <v>1383</v>
      </c>
      <c r="E33" s="8" t="s">
        <v>1319</v>
      </c>
      <c r="F33" s="8" t="s">
        <v>12</v>
      </c>
    </row>
    <row r="34" customFormat="false" ht="35.05" hidden="false" customHeight="false" outlineLevel="0" collapsed="false">
      <c r="A34" s="8" t="s">
        <v>1400</v>
      </c>
      <c r="B34" s="8" t="s">
        <v>1401</v>
      </c>
      <c r="C34" s="8" t="s">
        <v>1324</v>
      </c>
      <c r="D34" s="8" t="s">
        <v>1383</v>
      </c>
      <c r="E34" s="8" t="s">
        <v>1319</v>
      </c>
      <c r="F34" s="8" t="s">
        <v>12</v>
      </c>
    </row>
    <row r="35" customFormat="false" ht="23.85" hidden="false" customHeight="false" outlineLevel="0" collapsed="false">
      <c r="A35" s="8" t="s">
        <v>1402</v>
      </c>
      <c r="B35" s="8" t="s">
        <v>1403</v>
      </c>
      <c r="C35" s="8" t="s">
        <v>1324</v>
      </c>
      <c r="D35" s="8" t="s">
        <v>1383</v>
      </c>
      <c r="E35" s="8" t="s">
        <v>1319</v>
      </c>
      <c r="F35" s="8" t="s">
        <v>12</v>
      </c>
    </row>
    <row r="36" customFormat="false" ht="23.85" hidden="false" customHeight="false" outlineLevel="0" collapsed="false">
      <c r="A36" s="8" t="s">
        <v>1404</v>
      </c>
      <c r="B36" s="8" t="s">
        <v>1405</v>
      </c>
      <c r="C36" s="8" t="s">
        <v>1358</v>
      </c>
      <c r="D36" s="8" t="s">
        <v>1383</v>
      </c>
      <c r="E36" s="8" t="s">
        <v>1319</v>
      </c>
      <c r="F36" s="8" t="s">
        <v>13</v>
      </c>
    </row>
    <row r="37" customFormat="false" ht="23.85" hidden="false" customHeight="false" outlineLevel="0" collapsed="false">
      <c r="A37" s="8" t="s">
        <v>1406</v>
      </c>
      <c r="B37" s="8" t="s">
        <v>1407</v>
      </c>
      <c r="C37" s="8" t="s">
        <v>1358</v>
      </c>
      <c r="D37" s="8" t="s">
        <v>1383</v>
      </c>
      <c r="E37" s="8" t="s">
        <v>1319</v>
      </c>
      <c r="F37" s="8" t="s">
        <v>13</v>
      </c>
    </row>
    <row r="38" customFormat="false" ht="23.85" hidden="false" customHeight="false" outlineLevel="0" collapsed="false">
      <c r="A38" s="8" t="s">
        <v>1408</v>
      </c>
      <c r="B38" s="8" t="s">
        <v>1409</v>
      </c>
      <c r="C38" s="8" t="s">
        <v>1312</v>
      </c>
      <c r="D38" s="8" t="s">
        <v>1383</v>
      </c>
      <c r="E38" s="8" t="s">
        <v>1319</v>
      </c>
      <c r="F38" s="8" t="s">
        <v>13</v>
      </c>
    </row>
    <row r="39" customFormat="false" ht="23.85" hidden="false" customHeight="false" outlineLevel="0" collapsed="false">
      <c r="A39" s="8" t="s">
        <v>1410</v>
      </c>
      <c r="B39" s="8" t="s">
        <v>1411</v>
      </c>
      <c r="C39" s="8" t="s">
        <v>1358</v>
      </c>
      <c r="D39" s="8" t="s">
        <v>1383</v>
      </c>
      <c r="E39" s="8" t="s">
        <v>1319</v>
      </c>
      <c r="F39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2026-10-25T20:33:03Z</dcterms:created>
  <dc:creator>openpyxl</dc:creator>
  <dc:description/>
  <dc:language>en-US</dc:language>
  <cp:lastModifiedBy/>
  <dcterms:modified xsi:type="dcterms:W3CDTF">2026-10-25T20:33:04Z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